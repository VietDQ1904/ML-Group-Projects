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ML2025_NguyenDangKhoa\ML09\"/>
    </mc:Choice>
  </mc:AlternateContent>
  <xr:revisionPtr revIDLastSave="0" documentId="8_{26CE289A-C72A-4BFF-B937-2D0B5609FA48}" xr6:coauthVersionLast="47" xr6:coauthVersionMax="47" xr10:uidLastSave="{00000000-0000-0000-0000-000000000000}"/>
  <bookViews>
    <workbookView xWindow="11424" yWindow="0" windowWidth="11712" windowHeight="12336" xr2:uid="{C5467349-58A0-45B7-8EEE-06151A793A6E}"/>
  </bookViews>
  <sheets>
    <sheet name="Sheet1" sheetId="1" r:id="rId1"/>
  </sheets>
  <definedNames>
    <definedName name="solver_adj" localSheetId="0" hidden="1">Sheet1!$B$4:$G$4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7" i="1" s="1"/>
  <c r="H8" i="1"/>
  <c r="I8" i="1" s="1"/>
  <c r="H9" i="1"/>
  <c r="I9" i="1" s="1"/>
  <c r="L9" i="1" s="1"/>
  <c r="M9" i="1" s="1"/>
  <c r="H10" i="1"/>
  <c r="I10" i="1" s="1"/>
  <c r="L10" i="1" s="1"/>
  <c r="M10" i="1" s="1"/>
  <c r="H11" i="1"/>
  <c r="I11" i="1" s="1"/>
  <c r="L11" i="1" s="1"/>
  <c r="M11" i="1" s="1"/>
  <c r="H12" i="1"/>
  <c r="I12" i="1" s="1"/>
  <c r="J12" i="1" s="1"/>
  <c r="K12" i="1" s="1"/>
  <c r="H13" i="1"/>
  <c r="I13" i="1" s="1"/>
  <c r="L13" i="1" s="1"/>
  <c r="M13" i="1" s="1"/>
  <c r="H14" i="1"/>
  <c r="I14" i="1" s="1"/>
  <c r="L14" i="1" s="1"/>
  <c r="M14" i="1" s="1"/>
  <c r="H15" i="1"/>
  <c r="I15" i="1" s="1"/>
  <c r="L15" i="1" s="1"/>
  <c r="M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J22" i="1" s="1"/>
  <c r="K22" i="1" s="1"/>
  <c r="H23" i="1"/>
  <c r="I23" i="1" s="1"/>
  <c r="L23" i="1" s="1"/>
  <c r="M23" i="1" s="1"/>
  <c r="H24" i="1"/>
  <c r="I24" i="1" s="1"/>
  <c r="L24" i="1" s="1"/>
  <c r="M24" i="1" s="1"/>
  <c r="H25" i="1"/>
  <c r="I25" i="1" s="1"/>
  <c r="L25" i="1" s="1"/>
  <c r="M25" i="1" s="1"/>
  <c r="H26" i="1"/>
  <c r="I26" i="1" s="1"/>
  <c r="L26" i="1" s="1"/>
  <c r="M26" i="1" s="1"/>
  <c r="H27" i="1"/>
  <c r="I27" i="1" s="1"/>
  <c r="L27" i="1" s="1"/>
  <c r="M27" i="1" s="1"/>
  <c r="H28" i="1"/>
  <c r="I28" i="1" s="1"/>
  <c r="L28" i="1" s="1"/>
  <c r="M28" i="1" s="1"/>
  <c r="H29" i="1"/>
  <c r="I29" i="1" s="1"/>
  <c r="L29" i="1" s="1"/>
  <c r="M29" i="1" s="1"/>
  <c r="H30" i="1"/>
  <c r="I30" i="1" s="1"/>
  <c r="J30" i="1" s="1"/>
  <c r="K30" i="1" s="1"/>
  <c r="H31" i="1"/>
  <c r="I31" i="1" s="1"/>
  <c r="L31" i="1" s="1"/>
  <c r="M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L39" i="1" s="1"/>
  <c r="M39" i="1" s="1"/>
  <c r="H40" i="1"/>
  <c r="I40" i="1" s="1"/>
  <c r="L40" i="1" s="1"/>
  <c r="M40" i="1" s="1"/>
  <c r="H41" i="1"/>
  <c r="I41" i="1" s="1"/>
  <c r="L41" i="1" s="1"/>
  <c r="M41" i="1" s="1"/>
  <c r="H42" i="1"/>
  <c r="I42" i="1" s="1"/>
  <c r="J42" i="1" s="1"/>
  <c r="K42" i="1" s="1"/>
  <c r="H43" i="1"/>
  <c r="I43" i="1" s="1"/>
  <c r="J43" i="1" s="1"/>
  <c r="K43" i="1" s="1"/>
  <c r="H44" i="1"/>
  <c r="I44" i="1" s="1"/>
  <c r="L44" i="1" s="1"/>
  <c r="M44" i="1" s="1"/>
  <c r="H45" i="1"/>
  <c r="I45" i="1" s="1"/>
  <c r="L45" i="1" s="1"/>
  <c r="M45" i="1" s="1"/>
  <c r="H46" i="1"/>
  <c r="I46" i="1" s="1"/>
  <c r="J46" i="1" s="1"/>
  <c r="K46" i="1" s="1"/>
  <c r="H47" i="1"/>
  <c r="I47" i="1" s="1"/>
  <c r="L47" i="1" s="1"/>
  <c r="M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J54" i="1" s="1"/>
  <c r="K54" i="1" s="1"/>
  <c r="H55" i="1"/>
  <c r="I55" i="1" s="1"/>
  <c r="J55" i="1" s="1"/>
  <c r="K55" i="1" s="1"/>
  <c r="H56" i="1"/>
  <c r="I56" i="1" s="1"/>
  <c r="L56" i="1" s="1"/>
  <c r="M56" i="1" s="1"/>
  <c r="H57" i="1"/>
  <c r="I57" i="1" s="1"/>
  <c r="L57" i="1" s="1"/>
  <c r="M57" i="1" s="1"/>
  <c r="H58" i="1"/>
  <c r="I58" i="1" s="1"/>
  <c r="L58" i="1" s="1"/>
  <c r="M58" i="1" s="1"/>
  <c r="H59" i="1"/>
  <c r="I59" i="1" s="1"/>
  <c r="J59" i="1" s="1"/>
  <c r="K59" i="1" s="1"/>
  <c r="H60" i="1"/>
  <c r="I60" i="1" s="1"/>
  <c r="J60" i="1" s="1"/>
  <c r="K60" i="1" s="1"/>
  <c r="H61" i="1"/>
  <c r="I61" i="1" s="1"/>
  <c r="J61" i="1" s="1"/>
  <c r="K61" i="1" s="1"/>
  <c r="H62" i="1"/>
  <c r="I62" i="1" s="1"/>
  <c r="L62" i="1" s="1"/>
  <c r="M62" i="1" s="1"/>
  <c r="H63" i="1"/>
  <c r="I63" i="1" s="1"/>
  <c r="L63" i="1" s="1"/>
  <c r="M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J70" i="1" s="1"/>
  <c r="K70" i="1" s="1"/>
  <c r="H71" i="1"/>
  <c r="I71" i="1" s="1"/>
  <c r="J71" i="1" s="1"/>
  <c r="K71" i="1" s="1"/>
  <c r="H72" i="1"/>
  <c r="I72" i="1" s="1"/>
  <c r="L72" i="1" s="1"/>
  <c r="M72" i="1" s="1"/>
  <c r="H73" i="1"/>
  <c r="I73" i="1" s="1"/>
  <c r="L73" i="1" s="1"/>
  <c r="M73" i="1" s="1"/>
  <c r="H74" i="1"/>
  <c r="I74" i="1" s="1"/>
  <c r="L74" i="1" s="1"/>
  <c r="M74" i="1" s="1"/>
  <c r="H75" i="1"/>
  <c r="I75" i="1" s="1"/>
  <c r="L75" i="1" s="1"/>
  <c r="M75" i="1" s="1"/>
  <c r="H76" i="1"/>
  <c r="I76" i="1" s="1"/>
  <c r="L76" i="1" s="1"/>
  <c r="M76" i="1" s="1"/>
  <c r="H77" i="1"/>
  <c r="I77" i="1" s="1"/>
  <c r="L77" i="1" s="1"/>
  <c r="M77" i="1" s="1"/>
  <c r="H78" i="1"/>
  <c r="I78" i="1" s="1"/>
  <c r="L78" i="1" s="1"/>
  <c r="M78" i="1" s="1"/>
  <c r="H79" i="1"/>
  <c r="I79" i="1" s="1"/>
  <c r="L79" i="1" s="1"/>
  <c r="M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L89" i="1" s="1"/>
  <c r="M89" i="1" s="1"/>
  <c r="H90" i="1"/>
  <c r="I90" i="1" s="1"/>
  <c r="J90" i="1" s="1"/>
  <c r="K90" i="1" s="1"/>
  <c r="H91" i="1"/>
  <c r="I91" i="1" s="1"/>
  <c r="J91" i="1" s="1"/>
  <c r="K91" i="1" s="1"/>
  <c r="H92" i="1"/>
  <c r="I92" i="1" s="1"/>
  <c r="L92" i="1" s="1"/>
  <c r="M92" i="1" s="1"/>
  <c r="H6" i="1"/>
  <c r="I6" i="1" s="1"/>
  <c r="L6" i="1" s="1"/>
  <c r="M6" i="1" s="1"/>
  <c r="G3" i="1" a="1"/>
  <c r="G3" i="1"/>
  <c r="F3" i="1" a="1"/>
  <c r="F3" i="1"/>
  <c r="C3" i="1" a="1"/>
  <c r="C3" i="1" s="1"/>
  <c r="E3" i="1" a="1"/>
  <c r="E3" i="1" s="1"/>
  <c r="D3" i="1" a="1"/>
  <c r="D3" i="1" s="1"/>
  <c r="B3" i="1" a="1"/>
  <c r="B3" i="1" s="1"/>
  <c r="J28" i="1" l="1"/>
  <c r="K28" i="1" s="1"/>
  <c r="J29" i="1"/>
  <c r="K29" i="1" s="1"/>
  <c r="L61" i="1"/>
  <c r="M61" i="1" s="1"/>
  <c r="L60" i="1"/>
  <c r="M60" i="1" s="1"/>
  <c r="J58" i="1"/>
  <c r="K58" i="1" s="1"/>
  <c r="J26" i="1"/>
  <c r="K26" i="1" s="1"/>
  <c r="L91" i="1"/>
  <c r="M91" i="1" s="1"/>
  <c r="L59" i="1"/>
  <c r="M59" i="1" s="1"/>
  <c r="J27" i="1"/>
  <c r="K27" i="1" s="1"/>
  <c r="L90" i="1"/>
  <c r="M90" i="1" s="1"/>
  <c r="L30" i="1"/>
  <c r="M30" i="1" s="1"/>
  <c r="J38" i="1"/>
  <c r="K38" i="1" s="1"/>
  <c r="L38" i="1"/>
  <c r="M38" i="1" s="1"/>
  <c r="J8" i="1"/>
  <c r="K8" i="1" s="1"/>
  <c r="L8" i="1"/>
  <c r="M8" i="1" s="1"/>
  <c r="L87" i="1"/>
  <c r="M87" i="1" s="1"/>
  <c r="J87" i="1"/>
  <c r="K87" i="1" s="1"/>
  <c r="J7" i="1"/>
  <c r="K7" i="1" s="1"/>
  <c r="L7" i="1"/>
  <c r="M7" i="1" s="1"/>
  <c r="J86" i="1"/>
  <c r="K86" i="1" s="1"/>
  <c r="L86" i="1"/>
  <c r="M86" i="1" s="1"/>
  <c r="J73" i="1"/>
  <c r="K73" i="1" s="1"/>
  <c r="J25" i="1"/>
  <c r="K25" i="1" s="1"/>
  <c r="J57" i="1"/>
  <c r="K57" i="1" s="1"/>
  <c r="J56" i="1"/>
  <c r="K56" i="1" s="1"/>
  <c r="J89" i="1"/>
  <c r="K89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L88" i="1"/>
  <c r="M88" i="1" s="1"/>
  <c r="J88" i="1"/>
  <c r="K88" i="1" s="1"/>
  <c r="J33" i="1"/>
  <c r="K33" i="1" s="1"/>
  <c r="L33" i="1"/>
  <c r="M33" i="1" s="1"/>
  <c r="J80" i="1"/>
  <c r="K80" i="1" s="1"/>
  <c r="L80" i="1"/>
  <c r="M80" i="1" s="1"/>
  <c r="J49" i="1"/>
  <c r="K49" i="1" s="1"/>
  <c r="L49" i="1"/>
  <c r="M49" i="1" s="1"/>
  <c r="J48" i="1"/>
  <c r="K48" i="1" s="1"/>
  <c r="L48" i="1"/>
  <c r="M48" i="1" s="1"/>
  <c r="J81" i="1"/>
  <c r="K81" i="1" s="1"/>
  <c r="L81" i="1"/>
  <c r="M81" i="1" s="1"/>
  <c r="J65" i="1"/>
  <c r="K65" i="1" s="1"/>
  <c r="L65" i="1"/>
  <c r="M65" i="1" s="1"/>
  <c r="J17" i="1"/>
  <c r="K17" i="1" s="1"/>
  <c r="L17" i="1"/>
  <c r="M17" i="1" s="1"/>
  <c r="J64" i="1"/>
  <c r="K64" i="1" s="1"/>
  <c r="L64" i="1"/>
  <c r="M64" i="1" s="1"/>
  <c r="J16" i="1"/>
  <c r="K16" i="1" s="1"/>
  <c r="L16" i="1"/>
  <c r="M16" i="1" s="1"/>
  <c r="J85" i="1"/>
  <c r="K85" i="1" s="1"/>
  <c r="L85" i="1"/>
  <c r="M85" i="1" s="1"/>
  <c r="L83" i="1"/>
  <c r="M83" i="1" s="1"/>
  <c r="J83" i="1"/>
  <c r="K83" i="1" s="1"/>
  <c r="L52" i="1"/>
  <c r="M52" i="1" s="1"/>
  <c r="J52" i="1"/>
  <c r="K52" i="1" s="1"/>
  <c r="L51" i="1"/>
  <c r="M51" i="1" s="1"/>
  <c r="J51" i="1"/>
  <c r="K51" i="1" s="1"/>
  <c r="J50" i="1"/>
  <c r="K50" i="1" s="1"/>
  <c r="L50" i="1"/>
  <c r="M50" i="1" s="1"/>
  <c r="J47" i="1"/>
  <c r="K47" i="1" s="1"/>
  <c r="J45" i="1"/>
  <c r="K45" i="1" s="1"/>
  <c r="J14" i="1"/>
  <c r="K14" i="1" s="1"/>
  <c r="L69" i="1"/>
  <c r="M69" i="1" s="1"/>
  <c r="J69" i="1"/>
  <c r="K69" i="1" s="1"/>
  <c r="J13" i="1"/>
  <c r="K13" i="1" s="1"/>
  <c r="L22" i="1"/>
  <c r="M22" i="1" s="1"/>
  <c r="J68" i="1"/>
  <c r="K68" i="1" s="1"/>
  <c r="L68" i="1"/>
  <c r="M68" i="1" s="1"/>
  <c r="J72" i="1"/>
  <c r="K72" i="1" s="1"/>
  <c r="J37" i="1"/>
  <c r="K37" i="1" s="1"/>
  <c r="L37" i="1"/>
  <c r="M37" i="1" s="1"/>
  <c r="J41" i="1"/>
  <c r="K41" i="1" s="1"/>
  <c r="L43" i="1"/>
  <c r="M43" i="1" s="1"/>
  <c r="L36" i="1"/>
  <c r="M36" i="1" s="1"/>
  <c r="J36" i="1"/>
  <c r="K36" i="1" s="1"/>
  <c r="J63" i="1"/>
  <c r="K63" i="1" s="1"/>
  <c r="J10" i="1"/>
  <c r="K10" i="1" s="1"/>
  <c r="L42" i="1"/>
  <c r="M42" i="1" s="1"/>
  <c r="L12" i="1"/>
  <c r="M12" i="1" s="1"/>
  <c r="J32" i="1"/>
  <c r="K32" i="1" s="1"/>
  <c r="L32" i="1"/>
  <c r="M32" i="1" s="1"/>
  <c r="L84" i="1"/>
  <c r="M84" i="1" s="1"/>
  <c r="J84" i="1"/>
  <c r="K84" i="1" s="1"/>
  <c r="J82" i="1"/>
  <c r="K82" i="1" s="1"/>
  <c r="L82" i="1"/>
  <c r="M82" i="1" s="1"/>
  <c r="L20" i="1"/>
  <c r="M20" i="1" s="1"/>
  <c r="J20" i="1"/>
  <c r="K20" i="1" s="1"/>
  <c r="J24" i="1"/>
  <c r="K24" i="1" s="1"/>
  <c r="J19" i="1"/>
  <c r="K19" i="1" s="1"/>
  <c r="L19" i="1"/>
  <c r="M19" i="1" s="1"/>
  <c r="J23" i="1"/>
  <c r="K23" i="1" s="1"/>
  <c r="L55" i="1"/>
  <c r="M55" i="1" s="1"/>
  <c r="J18" i="1"/>
  <c r="K18" i="1" s="1"/>
  <c r="L18" i="1"/>
  <c r="M18" i="1" s="1"/>
  <c r="J15" i="1"/>
  <c r="K15" i="1" s="1"/>
  <c r="L54" i="1"/>
  <c r="M54" i="1" s="1"/>
  <c r="J44" i="1"/>
  <c r="K44" i="1" s="1"/>
  <c r="L46" i="1"/>
  <c r="M46" i="1" s="1"/>
  <c r="J11" i="1"/>
  <c r="K11" i="1" s="1"/>
  <c r="J66" i="1"/>
  <c r="K66" i="1" s="1"/>
  <c r="L66" i="1"/>
  <c r="M66" i="1" s="1"/>
  <c r="J6" i="1"/>
  <c r="K6" i="1" s="1"/>
  <c r="J40" i="1"/>
  <c r="K40" i="1" s="1"/>
  <c r="L35" i="1"/>
  <c r="M35" i="1" s="1"/>
  <c r="J35" i="1"/>
  <c r="K35" i="1" s="1"/>
  <c r="J92" i="1"/>
  <c r="K92" i="1" s="1"/>
  <c r="J62" i="1"/>
  <c r="K62" i="1" s="1"/>
  <c r="J39" i="1"/>
  <c r="K39" i="1" s="1"/>
  <c r="J9" i="1"/>
  <c r="K9" i="1" s="1"/>
  <c r="L71" i="1"/>
  <c r="M71" i="1" s="1"/>
  <c r="L53" i="1"/>
  <c r="M53" i="1" s="1"/>
  <c r="J53" i="1"/>
  <c r="K53" i="1" s="1"/>
  <c r="J21" i="1"/>
  <c r="K21" i="1" s="1"/>
  <c r="L21" i="1"/>
  <c r="M21" i="1" s="1"/>
  <c r="J67" i="1"/>
  <c r="K67" i="1" s="1"/>
  <c r="L67" i="1"/>
  <c r="M67" i="1" s="1"/>
  <c r="J34" i="1"/>
  <c r="K34" i="1" s="1"/>
  <c r="L34" i="1"/>
  <c r="M34" i="1" s="1"/>
  <c r="J31" i="1"/>
  <c r="K31" i="1" s="1"/>
  <c r="L70" i="1"/>
  <c r="M70" i="1" s="1"/>
  <c r="M1" i="1" l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<sst xmlns="http://schemas.openxmlformats.org/spreadsheetml/2006/main" count="21" uniqueCount="21">
  <si>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b</t>
  </si>
  <si>
    <t>m5</t>
  </si>
  <si>
    <t>m4</t>
  </si>
  <si>
    <t>m3</t>
  </si>
  <si>
    <t>m2</t>
  </si>
  <si>
    <t>m1</t>
  </si>
  <si>
    <t>PatientID</t>
  </si>
  <si>
    <t>Gene1</t>
  </si>
  <si>
    <t>Gene2</t>
  </si>
  <si>
    <t>Gene3</t>
  </si>
  <si>
    <t>Gene4</t>
  </si>
  <si>
    <t>Gene5</t>
  </si>
  <si>
    <t>5-year survival</t>
  </si>
  <si>
    <t>m1x1+m2x2+m3x3+m4x4+m5x5+b</t>
  </si>
  <si>
    <t>P(1)</t>
  </si>
  <si>
    <t>Outcome</t>
  </si>
  <si>
    <t>Difference</t>
  </si>
  <si>
    <t>total diff =</t>
  </si>
  <si>
    <t>Likelihood</t>
  </si>
  <si>
    <t>Ln(Likelihood)</t>
  </si>
  <si>
    <t>To-Maximize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</si>
</sst>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1C5B-D9CA-4BE5-A29F-D14F0C2B1C86}">
  <dimension ref="A1:M92"/>
  <sheetViews>
    <sheetView tabSelected="1" workbookViewId="0">
      <selection activeCell="E11" sqref="E11"/>
    </sheetView>
  </sheetViews>
  <sheetFormatPr defaultRowHeight="14.4" x14ac:dyDescent="0.3"/>
  <cols>
    <col min="7" max="7" width="12.44140625" bestFit="1" customWidth="1"/>
    <col min="8" max="8" width="29.109375" bestFit="1" customWidth="1"/>
    <col min="12" max="12" width="12" bestFit="1" customWidth="1"/>
    <col min="13" max="13" width="12.109375" bestFit="1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-28.721089337008756</v>
      </c>
    </row>
    <row r="2" spans="1:13" x14ac:dyDescent="0.3">
      <c r="B2" t="s">
        <v>5</v>
      </c>
      <c r="C2" t="s">
        <v>4</v>
      </c>
      <c r="D2" t="s">
        <v>3</v>
      </c>
      <c r="E2" t="s">
        <v>2</v>
      </c>
      <c r="F2" t="s">
        <v>1</v>
      </c>
      <c r="G2" t="s">
        <v>0</v>
      </c>
      <c r="J2" t="s">
        <v>17</v>
      </c>
      <c r="K2">
        <f>SUM(K6:K92)</f>
        <v>12</v>
      </c>
    </row>
    <row r="3" spans="1:13" x14ac:dyDescent="0.3">
      <c r="B3" cm="1">
        <f t="array" ref="B3">INDEX(LINEST($G$6:$G$92,$B$6:$F$92),1,B1)</f>
        <v>-3.1646397523048817E-4</v>
      </c>
      <c r="C3" cm="1">
        <f t="array" ref="C3">INDEX(LINEST($G$6:$G$92,$B$6:$F$92),1,C1)</f>
        <v>3.0100064130601906E-3</v>
      </c>
      <c r="D3" cm="1">
        <f t="array" ref="D3">INDEX(LINEST($G$6:$G$92,$B$6:$F$92),1,D1)</f>
        <v>-5.1330433103881417E-3</v>
      </c>
      <c r="E3" cm="1">
        <f t="array" ref="E3">INDEX(LINEST($G$6:$G$92,$B$6:$F$92),1,E1)</f>
        <v>-5.1011808354464695E-4</v>
      </c>
      <c r="F3" cm="1">
        <f t="array" ref="F3">INDEX(LINEST($G$6:$G$92,$B$6:$F$92),1,F1)</f>
        <v>-7.4155185513976782E-4</v>
      </c>
      <c r="G3" cm="1">
        <f t="array" ref="G3">INDEX(LINEST($G$6:$G$92,$B$6:$F$92),1,G1)</f>
        <v>0.53557402517470809</v>
      </c>
    </row>
    <row r="4" spans="1:13" x14ac:dyDescent="0.3">
      <c r="B4">
        <v>-2.0319701344681092E-2</v>
      </c>
      <c r="C4">
        <v>-7.9392414270902795E-3</v>
      </c>
      <c r="D4">
        <v>-9.7137361495153021E-2</v>
      </c>
      <c r="E4">
        <v>-1.073097991333098E-2</v>
      </c>
      <c r="F4">
        <v>-3.799661375034949E-3</v>
      </c>
      <c r="G4">
        <v>4.222998923613881</v>
      </c>
    </row>
    <row r="5" spans="1:13" x14ac:dyDescent="0.3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18</v>
      </c>
      <c r="M5" t="s">
        <v>19</v>
      </c>
    </row>
    <row r="6" spans="1:13" x14ac:dyDescent="0.3">
      <c r="A6" s="1">
        <v>1</v>
      </c>
      <c r="B6" s="1">
        <v>92.082599999999999</v>
      </c>
      <c r="C6" s="1">
        <v>443.37349999999998</v>
      </c>
      <c r="D6" s="1">
        <v>350.94664</v>
      </c>
      <c r="E6" s="1">
        <v>11.1876</v>
      </c>
      <c r="F6" s="1">
        <v>77.926000000000002</v>
      </c>
      <c r="G6" s="1">
        <v>0</v>
      </c>
      <c r="H6">
        <f>SUMPRODUCT($B$4:$F$4,B6:F6)+$G$4</f>
        <v>-35.674318224680555</v>
      </c>
      <c r="I6">
        <f>1/(1+EXP(0-H6))</f>
        <v>3.212480124333102E-16</v>
      </c>
      <c r="J6">
        <f>IF(I6&gt;0.5,1,0)</f>
        <v>0</v>
      </c>
      <c r="K6">
        <f>IF(G6=J6,0,1)</f>
        <v>0</v>
      </c>
      <c r="L6">
        <f>IF(G6=1,I6,1-I6)</f>
        <v>0.99999999999999967</v>
      </c>
      <c r="M6">
        <f>IF(L6=0, -1000000, LN(L6))</f>
        <v>-3.3306690738754701E-16</v>
      </c>
    </row>
    <row r="7" spans="1:13" x14ac:dyDescent="0.3">
      <c r="A7" s="1">
        <v>2</v>
      </c>
      <c r="B7" s="1">
        <v>97.122799999999998</v>
      </c>
      <c r="C7" s="1">
        <v>29.215617999999999</v>
      </c>
      <c r="D7" s="1">
        <v>2.5790069999999998</v>
      </c>
      <c r="E7" s="1">
        <v>301.86840000000001</v>
      </c>
      <c r="F7" s="1">
        <v>171.99680000000001</v>
      </c>
      <c r="G7" s="1">
        <v>0</v>
      </c>
      <c r="H7">
        <f t="shared" ref="H7:H70" si="0">SUMPRODUCT($B$4:$F$4,B7:F7)+$G$4</f>
        <v>-2.1258484806054598</v>
      </c>
      <c r="I7">
        <f t="shared" ref="I7:I70" si="1">1/(1+EXP(0-H7))</f>
        <v>0.10660975418354791</v>
      </c>
      <c r="J7">
        <f t="shared" ref="J7:J70" si="2">IF(I7&gt;0.5,1,0)</f>
        <v>0</v>
      </c>
      <c r="K7">
        <f t="shared" ref="K7:K70" si="3">IF(G7=J7,0,1)</f>
        <v>0</v>
      </c>
      <c r="L7">
        <f t="shared" ref="L7:L70" si="4">IF(G7=1,I7,1-I7)</f>
        <v>0.8933902458164521</v>
      </c>
      <c r="M7">
        <f t="shared" ref="M7:M70" si="5">IF(L7=0, -1000000, LN(L7))</f>
        <v>-0.11273178817112189</v>
      </c>
    </row>
    <row r="8" spans="1:13" x14ac:dyDescent="0.3">
      <c r="A8" s="1">
        <v>3</v>
      </c>
      <c r="B8" s="1">
        <v>7.7399500000000003</v>
      </c>
      <c r="C8" s="1">
        <v>42.368420999999998</v>
      </c>
      <c r="D8" s="1">
        <v>39.907120999999997</v>
      </c>
      <c r="E8" s="1">
        <v>9.2879000000000005</v>
      </c>
      <c r="F8" s="1">
        <v>104.2632</v>
      </c>
      <c r="G8" s="1">
        <v>1</v>
      </c>
      <c r="H8">
        <f t="shared" si="0"/>
        <v>-0.64295323303486729</v>
      </c>
      <c r="I8">
        <f t="shared" si="1"/>
        <v>0.34457926247665754</v>
      </c>
      <c r="J8">
        <f t="shared" si="2"/>
        <v>0</v>
      </c>
      <c r="K8">
        <f t="shared" si="3"/>
        <v>1</v>
      </c>
      <c r="L8">
        <f t="shared" si="4"/>
        <v>0.34457926247665754</v>
      </c>
      <c r="M8">
        <f t="shared" si="5"/>
        <v>-1.0654311352346351</v>
      </c>
    </row>
    <row r="9" spans="1:13" x14ac:dyDescent="0.3">
      <c r="A9" s="1">
        <v>4</v>
      </c>
      <c r="B9" s="1">
        <v>60.212499999999999</v>
      </c>
      <c r="C9" s="1">
        <v>25.631640999999998</v>
      </c>
      <c r="D9" s="1">
        <v>2.4203070000000002</v>
      </c>
      <c r="E9" s="1">
        <v>14.1677</v>
      </c>
      <c r="F9" s="1">
        <v>94.631600000000006</v>
      </c>
      <c r="G9" s="1">
        <v>1</v>
      </c>
      <c r="H9">
        <f t="shared" si="0"/>
        <v>2.0492995448416593</v>
      </c>
      <c r="I9">
        <f t="shared" si="1"/>
        <v>0.88587682248798061</v>
      </c>
      <c r="J9">
        <f t="shared" si="2"/>
        <v>1</v>
      </c>
      <c r="K9">
        <f t="shared" si="3"/>
        <v>0</v>
      </c>
      <c r="L9">
        <f t="shared" si="4"/>
        <v>0.88587682248798061</v>
      </c>
      <c r="M9">
        <f t="shared" si="5"/>
        <v>-0.12117736457940889</v>
      </c>
    </row>
    <row r="10" spans="1:13" x14ac:dyDescent="0.3">
      <c r="A10" s="1">
        <v>5</v>
      </c>
      <c r="B10" s="1">
        <v>385.47660000000002</v>
      </c>
      <c r="C10" s="1">
        <v>20.329639</v>
      </c>
      <c r="D10" s="1">
        <v>5.8317509999999997</v>
      </c>
      <c r="E10" s="1">
        <v>35.4298</v>
      </c>
      <c r="F10" s="1">
        <v>71.058800000000005</v>
      </c>
      <c r="G10" s="1">
        <v>0</v>
      </c>
      <c r="H10">
        <f t="shared" si="0"/>
        <v>-4.9878491307821911</v>
      </c>
      <c r="I10">
        <f t="shared" si="1"/>
        <v>6.7741167076800571E-3</v>
      </c>
      <c r="J10">
        <f t="shared" si="2"/>
        <v>0</v>
      </c>
      <c r="K10">
        <f t="shared" si="3"/>
        <v>0</v>
      </c>
      <c r="L10">
        <f t="shared" si="4"/>
        <v>0.99322588329231998</v>
      </c>
      <c r="M10">
        <f t="shared" si="5"/>
        <v>-6.7971651839490894E-3</v>
      </c>
    </row>
    <row r="11" spans="1:13" x14ac:dyDescent="0.3">
      <c r="A11" s="1">
        <v>6</v>
      </c>
      <c r="B11" s="1">
        <v>476.64400000000001</v>
      </c>
      <c r="C11" s="1">
        <v>12.487453</v>
      </c>
      <c r="D11" s="1">
        <v>4.4061250000000003</v>
      </c>
      <c r="E11" s="1">
        <v>50.444000000000003</v>
      </c>
      <c r="F11" s="1">
        <v>104.7838</v>
      </c>
      <c r="G11" s="1">
        <v>0</v>
      </c>
      <c r="H11">
        <f t="shared" si="0"/>
        <v>-6.9288615735520231</v>
      </c>
      <c r="I11">
        <f t="shared" si="1"/>
        <v>9.7815715621150001E-4</v>
      </c>
      <c r="J11">
        <f t="shared" si="2"/>
        <v>0</v>
      </c>
      <c r="K11">
        <f t="shared" si="3"/>
        <v>0</v>
      </c>
      <c r="L11">
        <f t="shared" si="4"/>
        <v>0.99902184284378848</v>
      </c>
      <c r="M11">
        <f t="shared" si="5"/>
        <v>-9.7863586411581433E-4</v>
      </c>
    </row>
    <row r="12" spans="1:13" x14ac:dyDescent="0.3">
      <c r="A12" s="1">
        <v>7</v>
      </c>
      <c r="B12" s="1">
        <v>25.89</v>
      </c>
      <c r="C12" s="1">
        <v>18.495145999999998</v>
      </c>
      <c r="D12" s="1">
        <v>28.721682999999999</v>
      </c>
      <c r="E12" s="1">
        <v>6.4724000000000004</v>
      </c>
      <c r="F12" s="1">
        <v>78.398099999999999</v>
      </c>
      <c r="G12" s="1">
        <v>0</v>
      </c>
      <c r="H12">
        <f t="shared" si="0"/>
        <v>0.3927944953194431</v>
      </c>
      <c r="I12">
        <f t="shared" si="1"/>
        <v>0.59695523576272402</v>
      </c>
      <c r="J12">
        <f t="shared" si="2"/>
        <v>1</v>
      </c>
      <c r="K12">
        <f t="shared" si="3"/>
        <v>1</v>
      </c>
      <c r="L12">
        <f t="shared" si="4"/>
        <v>0.40304476423727598</v>
      </c>
      <c r="M12">
        <f t="shared" si="5"/>
        <v>-0.90870764569225304</v>
      </c>
    </row>
    <row r="13" spans="1:13" x14ac:dyDescent="0.3">
      <c r="A13" s="1">
        <v>8</v>
      </c>
      <c r="B13" s="1">
        <v>142.85714999999999</v>
      </c>
      <c r="C13" s="1">
        <v>15.411994</v>
      </c>
      <c r="D13" s="1">
        <v>1.019015</v>
      </c>
      <c r="E13" s="1">
        <v>24.378399999999999</v>
      </c>
      <c r="F13" s="1">
        <v>146.7328</v>
      </c>
      <c r="G13" s="1">
        <v>1</v>
      </c>
      <c r="H13">
        <f t="shared" si="0"/>
        <v>0.2797012576688469</v>
      </c>
      <c r="I13">
        <f t="shared" si="1"/>
        <v>0.56947298175551742</v>
      </c>
      <c r="J13">
        <f t="shared" si="2"/>
        <v>1</v>
      </c>
      <c r="K13">
        <f t="shared" si="3"/>
        <v>0</v>
      </c>
      <c r="L13">
        <f t="shared" si="4"/>
        <v>0.56947298175551742</v>
      </c>
      <c r="M13">
        <f t="shared" si="5"/>
        <v>-0.56304393926505514</v>
      </c>
    </row>
    <row r="14" spans="1:13" x14ac:dyDescent="0.3">
      <c r="A14" s="1">
        <v>9</v>
      </c>
      <c r="B14" s="1">
        <v>188.6454</v>
      </c>
      <c r="C14" s="1">
        <v>26.958862</v>
      </c>
      <c r="D14" s="1">
        <v>12.508010000000001</v>
      </c>
      <c r="E14" s="1">
        <v>82.019800000000004</v>
      </c>
      <c r="F14" s="1">
        <v>137.77709999999999</v>
      </c>
      <c r="G14" s="1">
        <v>0</v>
      </c>
      <c r="H14">
        <f t="shared" si="0"/>
        <v>-2.4429064189363725</v>
      </c>
      <c r="I14">
        <f t="shared" si="1"/>
        <v>7.9958839040930665E-2</v>
      </c>
      <c r="J14">
        <f t="shared" si="2"/>
        <v>0</v>
      </c>
      <c r="K14">
        <f t="shared" si="3"/>
        <v>0</v>
      </c>
      <c r="L14">
        <f t="shared" si="4"/>
        <v>0.92004116095906929</v>
      </c>
      <c r="M14">
        <f t="shared" si="5"/>
        <v>-8.3336869766961336E-2</v>
      </c>
    </row>
    <row r="15" spans="1:13" x14ac:dyDescent="0.3">
      <c r="A15" s="1">
        <v>10</v>
      </c>
      <c r="B15" s="1">
        <v>1383.3642</v>
      </c>
      <c r="C15" s="1">
        <v>14.225508</v>
      </c>
      <c r="D15" s="1">
        <v>1.49353</v>
      </c>
      <c r="E15" s="1">
        <v>312.01479999999998</v>
      </c>
      <c r="F15" s="1">
        <v>787.2921</v>
      </c>
      <c r="G15" s="1">
        <v>0</v>
      </c>
      <c r="H15">
        <f t="shared" si="0"/>
        <v>-30.484233711960798</v>
      </c>
      <c r="I15">
        <f t="shared" si="1"/>
        <v>5.7658788618768983E-14</v>
      </c>
      <c r="J15">
        <f t="shared" si="2"/>
        <v>0</v>
      </c>
      <c r="K15">
        <f t="shared" si="3"/>
        <v>0</v>
      </c>
      <c r="L15">
        <f t="shared" si="4"/>
        <v>0.99999999999994238</v>
      </c>
      <c r="M15">
        <f t="shared" si="5"/>
        <v>-5.7620574978047291E-14</v>
      </c>
    </row>
    <row r="16" spans="1:13" x14ac:dyDescent="0.3">
      <c r="A16" s="1">
        <v>11</v>
      </c>
      <c r="B16" s="1">
        <v>365.39699999999999</v>
      </c>
      <c r="C16" s="1">
        <v>3.2798440000000002</v>
      </c>
      <c r="D16" s="1">
        <v>0.35542000000000001</v>
      </c>
      <c r="E16" s="1">
        <v>74.825400000000002</v>
      </c>
      <c r="F16" s="1">
        <v>132.8732</v>
      </c>
      <c r="G16" s="1">
        <v>0</v>
      </c>
      <c r="H16">
        <f t="shared" si="0"/>
        <v>-4.5701460532346072</v>
      </c>
      <c r="I16">
        <f t="shared" si="1"/>
        <v>1.0250290424893987E-2</v>
      </c>
      <c r="J16">
        <f t="shared" si="2"/>
        <v>0</v>
      </c>
      <c r="K16">
        <f t="shared" si="3"/>
        <v>0</v>
      </c>
      <c r="L16">
        <f t="shared" si="4"/>
        <v>0.989749709575106</v>
      </c>
      <c r="M16">
        <f t="shared" si="5"/>
        <v>-1.0303186428518032E-2</v>
      </c>
    </row>
    <row r="17" spans="1:13" x14ac:dyDescent="0.3">
      <c r="A17" s="1">
        <v>12</v>
      </c>
      <c r="B17" s="1">
        <v>26.89425</v>
      </c>
      <c r="C17" s="1">
        <v>40.682699999999997</v>
      </c>
      <c r="D17" s="1">
        <v>18.960433999999999</v>
      </c>
      <c r="E17" s="1">
        <v>20.687899999999999</v>
      </c>
      <c r="F17" s="1">
        <v>204.8443</v>
      </c>
      <c r="G17" s="1">
        <v>1</v>
      </c>
      <c r="H17">
        <f t="shared" si="0"/>
        <v>0.51141907300074418</v>
      </c>
      <c r="I17">
        <f t="shared" si="1"/>
        <v>0.62513907934324731</v>
      </c>
      <c r="J17">
        <f t="shared" si="2"/>
        <v>1</v>
      </c>
      <c r="K17">
        <f t="shared" si="3"/>
        <v>0</v>
      </c>
      <c r="L17">
        <f t="shared" si="4"/>
        <v>0.62513907934324731</v>
      </c>
      <c r="M17">
        <f t="shared" si="5"/>
        <v>-0.46978112705198899</v>
      </c>
    </row>
    <row r="18" spans="1:13" x14ac:dyDescent="0.3">
      <c r="A18" s="1">
        <v>13</v>
      </c>
      <c r="B18" s="1">
        <v>10.106999999999999</v>
      </c>
      <c r="C18" s="1">
        <v>12.223542999999999</v>
      </c>
      <c r="D18" s="1">
        <v>22.972652</v>
      </c>
      <c r="E18" s="1">
        <v>9.5124999999999993</v>
      </c>
      <c r="F18" s="1">
        <v>42.995199999999997</v>
      </c>
      <c r="G18" s="1">
        <v>1</v>
      </c>
      <c r="H18">
        <f t="shared" si="0"/>
        <v>1.4236335941479559</v>
      </c>
      <c r="I18">
        <f t="shared" si="1"/>
        <v>0.80590741741730987</v>
      </c>
      <c r="J18">
        <f t="shared" si="2"/>
        <v>1</v>
      </c>
      <c r="K18">
        <f t="shared" si="3"/>
        <v>0</v>
      </c>
      <c r="L18">
        <f t="shared" si="4"/>
        <v>0.80590741741730987</v>
      </c>
      <c r="M18">
        <f t="shared" si="5"/>
        <v>-0.21578640980109998</v>
      </c>
    </row>
    <row r="19" spans="1:13" x14ac:dyDescent="0.3">
      <c r="A19" s="1">
        <v>14</v>
      </c>
      <c r="B19" s="1">
        <v>196.50980000000001</v>
      </c>
      <c r="C19" s="1">
        <v>18.721547999999999</v>
      </c>
      <c r="D19" s="1">
        <v>5.2238239999999996</v>
      </c>
      <c r="E19" s="1">
        <v>80.424800000000005</v>
      </c>
      <c r="F19" s="1">
        <v>292.07130000000001</v>
      </c>
      <c r="G19" s="1">
        <v>0</v>
      </c>
      <c r="H19">
        <f t="shared" si="0"/>
        <v>-2.3988938441249541</v>
      </c>
      <c r="I19">
        <f t="shared" si="1"/>
        <v>8.3257085310175852E-2</v>
      </c>
      <c r="J19">
        <f t="shared" si="2"/>
        <v>0</v>
      </c>
      <c r="K19">
        <f t="shared" si="3"/>
        <v>0</v>
      </c>
      <c r="L19">
        <f t="shared" si="4"/>
        <v>0.91674291468982416</v>
      </c>
      <c r="M19">
        <f t="shared" si="5"/>
        <v>-8.6928200787239632E-2</v>
      </c>
    </row>
    <row r="20" spans="1:13" x14ac:dyDescent="0.3">
      <c r="A20" s="1">
        <v>15</v>
      </c>
      <c r="B20" s="1">
        <v>1955.5984000000001</v>
      </c>
      <c r="C20" s="1">
        <v>10.482625000000001</v>
      </c>
      <c r="D20" s="1">
        <v>2.3069500000000001</v>
      </c>
      <c r="E20" s="1">
        <v>44.401600000000002</v>
      </c>
      <c r="F20" s="1">
        <v>83.880300000000005</v>
      </c>
      <c r="G20" s="1">
        <v>0</v>
      </c>
      <c r="H20">
        <f t="shared" si="0"/>
        <v>-36.616681055044303</v>
      </c>
      <c r="I20">
        <f t="shared" si="1"/>
        <v>1.2519225789423928E-16</v>
      </c>
      <c r="J20">
        <f t="shared" si="2"/>
        <v>0</v>
      </c>
      <c r="K20">
        <f t="shared" si="3"/>
        <v>0</v>
      </c>
      <c r="L20">
        <f t="shared" si="4"/>
        <v>0.99999999999999989</v>
      </c>
      <c r="M20">
        <f t="shared" si="5"/>
        <v>-1.1102230246251565E-16</v>
      </c>
    </row>
    <row r="21" spans="1:13" x14ac:dyDescent="0.3">
      <c r="A21" s="1">
        <v>16</v>
      </c>
      <c r="B21" s="1">
        <v>740.09900000000005</v>
      </c>
      <c r="C21" s="1">
        <v>10.532178</v>
      </c>
      <c r="D21" s="1">
        <v>6.4108910000000003</v>
      </c>
      <c r="E21" s="1">
        <v>168.3168</v>
      </c>
      <c r="F21" s="1">
        <v>143.81190000000001</v>
      </c>
      <c r="G21" s="1">
        <v>0</v>
      </c>
      <c r="H21">
        <f t="shared" si="0"/>
        <v>-13.8745869839279</v>
      </c>
      <c r="I21">
        <f t="shared" si="1"/>
        <v>9.4263383607753476E-7</v>
      </c>
      <c r="J21">
        <f t="shared" si="2"/>
        <v>0</v>
      </c>
      <c r="K21">
        <f t="shared" si="3"/>
        <v>0</v>
      </c>
      <c r="L21">
        <f t="shared" si="4"/>
        <v>0.9999990573661639</v>
      </c>
      <c r="M21">
        <f t="shared" si="5"/>
        <v>-9.4263428037804799E-7</v>
      </c>
    </row>
    <row r="22" spans="1:13" x14ac:dyDescent="0.3">
      <c r="A22" s="1">
        <v>17</v>
      </c>
      <c r="B22" s="1">
        <v>327.31139999999999</v>
      </c>
      <c r="C22" s="1">
        <v>13.294368</v>
      </c>
      <c r="D22" s="1">
        <v>12.592986</v>
      </c>
      <c r="E22" s="1">
        <v>95.643000000000001</v>
      </c>
      <c r="F22" s="1">
        <v>327.86930000000001</v>
      </c>
      <c r="G22" s="1">
        <v>0</v>
      </c>
      <c r="H22">
        <f t="shared" si="0"/>
        <v>-6.028803028774016</v>
      </c>
      <c r="I22">
        <f t="shared" si="1"/>
        <v>2.4025886750843719E-3</v>
      </c>
      <c r="J22">
        <f t="shared" si="2"/>
        <v>0</v>
      </c>
      <c r="K22">
        <f t="shared" si="3"/>
        <v>0</v>
      </c>
      <c r="L22">
        <f t="shared" si="4"/>
        <v>0.99759741132491564</v>
      </c>
      <c r="M22">
        <f t="shared" si="5"/>
        <v>-2.4054795225283269E-3</v>
      </c>
    </row>
    <row r="23" spans="1:13" x14ac:dyDescent="0.3">
      <c r="A23" s="1">
        <v>18</v>
      </c>
      <c r="B23" s="1">
        <v>490.31259999999997</v>
      </c>
      <c r="C23" s="1">
        <v>14.897055</v>
      </c>
      <c r="D23" s="1">
        <v>8.7857430000000001</v>
      </c>
      <c r="E23" s="1">
        <v>44.573799999999999</v>
      </c>
      <c r="F23" s="1">
        <v>264.29129999999998</v>
      </c>
      <c r="G23" s="1">
        <v>0</v>
      </c>
      <c r="H23">
        <f t="shared" si="0"/>
        <v>-8.1942398807409589</v>
      </c>
      <c r="I23">
        <f t="shared" si="1"/>
        <v>2.7616388485375717E-4</v>
      </c>
      <c r="J23">
        <f t="shared" si="2"/>
        <v>0</v>
      </c>
      <c r="K23">
        <f t="shared" si="3"/>
        <v>0</v>
      </c>
      <c r="L23">
        <f t="shared" si="4"/>
        <v>0.99972383611514626</v>
      </c>
      <c r="M23">
        <f t="shared" si="5"/>
        <v>-2.7620202512152852E-4</v>
      </c>
    </row>
    <row r="24" spans="1:13" x14ac:dyDescent="0.3">
      <c r="A24" s="1">
        <v>19</v>
      </c>
      <c r="B24" s="1">
        <v>67.775549999999996</v>
      </c>
      <c r="C24" s="1">
        <v>23.059925</v>
      </c>
      <c r="D24" s="1">
        <v>1.0064869999999999</v>
      </c>
      <c r="E24" s="1">
        <v>61.687899999999999</v>
      </c>
      <c r="F24" s="1">
        <v>101.27209999999999</v>
      </c>
      <c r="G24" s="1">
        <v>1</v>
      </c>
      <c r="H24">
        <f t="shared" si="0"/>
        <v>1.5182028831833669</v>
      </c>
      <c r="I24">
        <f t="shared" si="1"/>
        <v>0.82027369354963742</v>
      </c>
      <c r="J24">
        <f t="shared" si="2"/>
        <v>1</v>
      </c>
      <c r="K24">
        <f t="shared" si="3"/>
        <v>0</v>
      </c>
      <c r="L24">
        <f t="shared" si="4"/>
        <v>0.82027369354963742</v>
      </c>
      <c r="M24">
        <f t="shared" si="5"/>
        <v>-0.19811722179201918</v>
      </c>
    </row>
    <row r="25" spans="1:13" x14ac:dyDescent="0.3">
      <c r="A25" s="1">
        <v>20</v>
      </c>
      <c r="B25" s="1">
        <v>331.79719999999998</v>
      </c>
      <c r="C25" s="1">
        <v>13.179724</v>
      </c>
      <c r="D25" s="1">
        <v>6.9585249999999998</v>
      </c>
      <c r="E25" s="1">
        <v>36.866399999999999</v>
      </c>
      <c r="F25" s="1">
        <v>195.5069</v>
      </c>
      <c r="G25" s="1">
        <v>0</v>
      </c>
      <c r="H25">
        <f t="shared" si="0"/>
        <v>-4.4380634709236606</v>
      </c>
      <c r="I25">
        <f t="shared" si="1"/>
        <v>1.1680751321740341E-2</v>
      </c>
      <c r="J25">
        <f t="shared" si="2"/>
        <v>0</v>
      </c>
      <c r="K25">
        <f t="shared" si="3"/>
        <v>0</v>
      </c>
      <c r="L25">
        <f t="shared" si="4"/>
        <v>0.98831924867825971</v>
      </c>
      <c r="M25">
        <f t="shared" si="5"/>
        <v>-1.1749507235723641E-2</v>
      </c>
    </row>
    <row r="26" spans="1:13" x14ac:dyDescent="0.3">
      <c r="A26" s="1">
        <v>21</v>
      </c>
      <c r="B26" s="1">
        <v>134.7414</v>
      </c>
      <c r="C26" s="1">
        <v>14.555197</v>
      </c>
      <c r="D26" s="1">
        <v>10.089931999999999</v>
      </c>
      <c r="E26" s="1">
        <v>219.34639999999999</v>
      </c>
      <c r="F26" s="1">
        <v>148.774</v>
      </c>
      <c r="G26" s="1">
        <v>0</v>
      </c>
      <c r="H26">
        <f t="shared" si="0"/>
        <v>-2.5296653121686159</v>
      </c>
      <c r="I26">
        <f t="shared" si="1"/>
        <v>7.3804521734040146E-2</v>
      </c>
      <c r="J26">
        <f t="shared" si="2"/>
        <v>0</v>
      </c>
      <c r="K26">
        <f t="shared" si="3"/>
        <v>0</v>
      </c>
      <c r="L26">
        <f t="shared" si="4"/>
        <v>0.92619547826595983</v>
      </c>
      <c r="M26">
        <f t="shared" si="5"/>
        <v>-7.6669966975085796E-2</v>
      </c>
    </row>
    <row r="27" spans="1:13" x14ac:dyDescent="0.3">
      <c r="A27" s="1">
        <v>22</v>
      </c>
      <c r="B27" s="1">
        <v>320.17540000000002</v>
      </c>
      <c r="C27" s="1">
        <v>1.677632</v>
      </c>
      <c r="D27" s="1">
        <v>3.936404</v>
      </c>
      <c r="E27" s="1">
        <v>92.105199999999996</v>
      </c>
      <c r="F27" s="1">
        <v>133.55260000000001</v>
      </c>
      <c r="G27" s="1">
        <v>0</v>
      </c>
      <c r="H27">
        <f t="shared" si="0"/>
        <v>-4.17439431298153</v>
      </c>
      <c r="I27">
        <f t="shared" si="1"/>
        <v>1.515141005532146E-2</v>
      </c>
      <c r="J27">
        <f t="shared" si="2"/>
        <v>0</v>
      </c>
      <c r="K27">
        <f t="shared" si="3"/>
        <v>0</v>
      </c>
      <c r="L27">
        <f t="shared" si="4"/>
        <v>0.9848485899446785</v>
      </c>
      <c r="M27">
        <f t="shared" si="5"/>
        <v>-1.526736541773596E-2</v>
      </c>
    </row>
    <row r="28" spans="1:13" x14ac:dyDescent="0.3">
      <c r="A28" s="1">
        <v>23</v>
      </c>
      <c r="B28" s="1">
        <v>86.603800000000007</v>
      </c>
      <c r="C28" s="1">
        <v>19.735692</v>
      </c>
      <c r="D28" s="1">
        <v>12.357707</v>
      </c>
      <c r="E28" s="1">
        <v>16.654599999999999</v>
      </c>
      <c r="F28" s="1">
        <v>94.949299999999994</v>
      </c>
      <c r="G28" s="1">
        <v>0</v>
      </c>
      <c r="H28">
        <f t="shared" si="0"/>
        <v>0.56665873080934315</v>
      </c>
      <c r="I28">
        <f t="shared" si="1"/>
        <v>0.63799183781124991</v>
      </c>
      <c r="J28">
        <f t="shared" si="2"/>
        <v>1</v>
      </c>
      <c r="K28">
        <f t="shared" si="3"/>
        <v>1</v>
      </c>
      <c r="L28">
        <f t="shared" si="4"/>
        <v>0.36200816218875009</v>
      </c>
      <c r="M28">
        <f t="shared" si="5"/>
        <v>-1.0160885199278216</v>
      </c>
    </row>
    <row r="29" spans="1:13" x14ac:dyDescent="0.3">
      <c r="A29" s="1">
        <v>24</v>
      </c>
      <c r="B29" s="1">
        <v>223.03639999999999</v>
      </c>
      <c r="C29" s="1">
        <v>6.8653370000000002</v>
      </c>
      <c r="D29" s="1">
        <v>11.744256999999999</v>
      </c>
      <c r="E29" s="1">
        <v>20.909600000000001</v>
      </c>
      <c r="F29" s="1">
        <v>485.88369999999998</v>
      </c>
      <c r="G29" s="1">
        <v>0</v>
      </c>
      <c r="H29">
        <f t="shared" si="0"/>
        <v>-3.5749198442461196</v>
      </c>
      <c r="I29">
        <f t="shared" si="1"/>
        <v>2.7254075722216244E-2</v>
      </c>
      <c r="J29">
        <f t="shared" si="2"/>
        <v>0</v>
      </c>
      <c r="K29">
        <f t="shared" si="3"/>
        <v>0</v>
      </c>
      <c r="L29">
        <f t="shared" si="4"/>
        <v>0.97274592427778372</v>
      </c>
      <c r="M29">
        <f t="shared" si="5"/>
        <v>-2.7632357023158732E-2</v>
      </c>
    </row>
    <row r="30" spans="1:13" x14ac:dyDescent="0.3">
      <c r="A30" s="1">
        <v>25</v>
      </c>
      <c r="B30" s="1">
        <v>380.80500000000001</v>
      </c>
      <c r="C30" s="1">
        <v>14.504644000000001</v>
      </c>
      <c r="D30" s="1">
        <v>8.8080499999999997</v>
      </c>
      <c r="E30" s="1">
        <v>49.535600000000002</v>
      </c>
      <c r="F30" s="1">
        <v>209.2105</v>
      </c>
      <c r="G30" s="1">
        <v>0</v>
      </c>
      <c r="H30">
        <f t="shared" si="0"/>
        <v>-5.8120861390913294</v>
      </c>
      <c r="I30">
        <f t="shared" si="1"/>
        <v>2.9822630380238499E-3</v>
      </c>
      <c r="J30">
        <f t="shared" si="2"/>
        <v>0</v>
      </c>
      <c r="K30">
        <f t="shared" si="3"/>
        <v>0</v>
      </c>
      <c r="L30">
        <f t="shared" si="4"/>
        <v>0.99701773696197615</v>
      </c>
      <c r="M30">
        <f t="shared" si="5"/>
        <v>-2.9867188455697403E-3</v>
      </c>
    </row>
    <row r="31" spans="1:13" x14ac:dyDescent="0.3">
      <c r="A31" s="1">
        <v>26</v>
      </c>
      <c r="B31" s="1">
        <v>192.72819999999999</v>
      </c>
      <c r="C31" s="1">
        <v>10.003011000000001</v>
      </c>
      <c r="D31" s="1">
        <v>15.344934</v>
      </c>
      <c r="E31" s="1">
        <v>23.043600000000001</v>
      </c>
      <c r="F31" s="1">
        <v>144.40770000000001</v>
      </c>
      <c r="G31" s="1">
        <v>0</v>
      </c>
      <c r="H31">
        <f t="shared" si="0"/>
        <v>-2.0591440301666584</v>
      </c>
      <c r="I31">
        <f t="shared" si="1"/>
        <v>0.11313168357726609</v>
      </c>
      <c r="J31">
        <f t="shared" si="2"/>
        <v>0</v>
      </c>
      <c r="K31">
        <f t="shared" si="3"/>
        <v>0</v>
      </c>
      <c r="L31">
        <f t="shared" si="4"/>
        <v>0.88686831642273389</v>
      </c>
      <c r="M31">
        <f t="shared" si="5"/>
        <v>-0.12005876719462379</v>
      </c>
    </row>
    <row r="32" spans="1:13" x14ac:dyDescent="0.3">
      <c r="A32" s="1">
        <v>27</v>
      </c>
      <c r="B32" s="1">
        <v>585.82399999999996</v>
      </c>
      <c r="C32" s="1">
        <v>23.825790000000001</v>
      </c>
      <c r="D32" s="1">
        <v>5.473954</v>
      </c>
      <c r="E32" s="1">
        <v>751.49440000000004</v>
      </c>
      <c r="F32" s="1">
        <v>188.9624</v>
      </c>
      <c r="G32" s="1">
        <v>0</v>
      </c>
      <c r="H32">
        <f t="shared" si="0"/>
        <v>-17.183918388434186</v>
      </c>
      <c r="I32">
        <f t="shared" si="1"/>
        <v>3.4444433901856443E-8</v>
      </c>
      <c r="J32">
        <f t="shared" si="2"/>
        <v>0</v>
      </c>
      <c r="K32">
        <f t="shared" si="3"/>
        <v>0</v>
      </c>
      <c r="L32">
        <f t="shared" si="4"/>
        <v>0.99999996555556614</v>
      </c>
      <c r="M32">
        <f t="shared" si="5"/>
        <v>-3.4444434453901484E-8</v>
      </c>
    </row>
    <row r="33" spans="1:13" x14ac:dyDescent="0.3">
      <c r="A33" s="1">
        <v>28</v>
      </c>
      <c r="B33" s="1">
        <v>22.633749999999999</v>
      </c>
      <c r="C33" s="1">
        <v>16.985596999999999</v>
      </c>
      <c r="D33" s="1">
        <v>21.934156000000002</v>
      </c>
      <c r="E33" s="1">
        <v>34.979399999999998</v>
      </c>
      <c r="F33" s="1">
        <v>154.34979999999999</v>
      </c>
      <c r="G33" s="1">
        <v>1</v>
      </c>
      <c r="H33">
        <f t="shared" si="0"/>
        <v>0.53576887538962614</v>
      </c>
      <c r="I33">
        <f t="shared" si="1"/>
        <v>0.63082760253827952</v>
      </c>
      <c r="J33">
        <f t="shared" si="2"/>
        <v>1</v>
      </c>
      <c r="K33">
        <f t="shared" si="3"/>
        <v>0</v>
      </c>
      <c r="L33">
        <f t="shared" si="4"/>
        <v>0.63082760253827952</v>
      </c>
      <c r="M33">
        <f t="shared" si="5"/>
        <v>-0.46072266686347985</v>
      </c>
    </row>
    <row r="34" spans="1:13" x14ac:dyDescent="0.3">
      <c r="A34" s="1">
        <v>29</v>
      </c>
      <c r="B34" s="1">
        <v>281.97320000000002</v>
      </c>
      <c r="C34" s="1">
        <v>7.5761269999999996</v>
      </c>
      <c r="D34" s="1">
        <v>4.4457979999999999</v>
      </c>
      <c r="E34" s="1">
        <v>9.7441999999999993</v>
      </c>
      <c r="F34" s="1">
        <v>62.337400000000002</v>
      </c>
      <c r="G34" s="1">
        <v>1</v>
      </c>
      <c r="H34">
        <f t="shared" si="0"/>
        <v>-2.340039901857458</v>
      </c>
      <c r="I34">
        <f t="shared" si="1"/>
        <v>8.7860716993518953E-2</v>
      </c>
      <c r="J34">
        <f t="shared" si="2"/>
        <v>0</v>
      </c>
      <c r="K34">
        <f t="shared" si="3"/>
        <v>1</v>
      </c>
      <c r="L34">
        <f t="shared" si="4"/>
        <v>8.7860716993518953E-2</v>
      </c>
      <c r="M34">
        <f t="shared" si="5"/>
        <v>-2.432002479831346</v>
      </c>
    </row>
    <row r="35" spans="1:13" x14ac:dyDescent="0.3">
      <c r="A35" s="1">
        <v>30</v>
      </c>
      <c r="B35" s="1">
        <v>320.488</v>
      </c>
      <c r="C35" s="1">
        <v>11.435774</v>
      </c>
      <c r="D35" s="1">
        <v>3.753606</v>
      </c>
      <c r="E35" s="1">
        <v>23.857600000000001</v>
      </c>
      <c r="F35" s="1">
        <v>63.967500000000001</v>
      </c>
      <c r="G35" s="1">
        <v>0</v>
      </c>
      <c r="H35">
        <f t="shared" si="0"/>
        <v>-3.2436985399521232</v>
      </c>
      <c r="I35">
        <f t="shared" si="1"/>
        <v>3.7553982780033648E-2</v>
      </c>
      <c r="J35">
        <f t="shared" si="2"/>
        <v>0</v>
      </c>
      <c r="K35">
        <f t="shared" si="3"/>
        <v>0</v>
      </c>
      <c r="L35">
        <f t="shared" si="4"/>
        <v>0.96244601721996637</v>
      </c>
      <c r="M35">
        <f t="shared" si="5"/>
        <v>-3.8277300398306319E-2</v>
      </c>
    </row>
    <row r="36" spans="1:13" x14ac:dyDescent="0.3">
      <c r="A36" s="1">
        <v>31</v>
      </c>
      <c r="B36" s="1">
        <v>775.38440000000003</v>
      </c>
      <c r="C36" s="1">
        <v>4.2702330000000002</v>
      </c>
      <c r="D36" s="1">
        <v>3.2026750000000002</v>
      </c>
      <c r="E36" s="1">
        <v>0</v>
      </c>
      <c r="F36" s="1">
        <v>137.37450000000001</v>
      </c>
      <c r="G36" s="1">
        <v>0</v>
      </c>
      <c r="H36">
        <f t="shared" si="0"/>
        <v>-12.39955890323902</v>
      </c>
      <c r="I36">
        <f t="shared" si="1"/>
        <v>4.1203888267286816E-6</v>
      </c>
      <c r="J36">
        <f t="shared" si="2"/>
        <v>0</v>
      </c>
      <c r="K36">
        <f t="shared" si="3"/>
        <v>0</v>
      </c>
      <c r="L36">
        <f t="shared" si="4"/>
        <v>0.99999587961117331</v>
      </c>
      <c r="M36">
        <f t="shared" si="5"/>
        <v>-4.1203973155147733E-6</v>
      </c>
    </row>
    <row r="37" spans="1:13" x14ac:dyDescent="0.3">
      <c r="A37" s="1">
        <v>32</v>
      </c>
      <c r="B37" s="1">
        <v>220.5718</v>
      </c>
      <c r="C37" s="1">
        <v>14.028964</v>
      </c>
      <c r="D37" s="1">
        <v>19.257334</v>
      </c>
      <c r="E37" s="1">
        <v>151.50380000000001</v>
      </c>
      <c r="F37" s="1">
        <v>111.1493</v>
      </c>
      <c r="G37" s="1">
        <v>0</v>
      </c>
      <c r="H37">
        <f t="shared" si="0"/>
        <v>-4.2890540604691942</v>
      </c>
      <c r="I37">
        <f t="shared" si="1"/>
        <v>1.3532261315416242E-2</v>
      </c>
      <c r="J37">
        <f t="shared" si="2"/>
        <v>0</v>
      </c>
      <c r="K37">
        <f t="shared" si="3"/>
        <v>0</v>
      </c>
      <c r="L37">
        <f t="shared" si="4"/>
        <v>0.98646773868458371</v>
      </c>
      <c r="M37">
        <f t="shared" si="5"/>
        <v>-1.3624656857475652E-2</v>
      </c>
    </row>
    <row r="38" spans="1:13" x14ac:dyDescent="0.3">
      <c r="A38" s="1">
        <v>33</v>
      </c>
      <c r="B38" s="1">
        <v>51.459299999999999</v>
      </c>
      <c r="C38" s="1">
        <v>8.6175119999999996</v>
      </c>
      <c r="D38" s="1">
        <v>9.5852529999999998</v>
      </c>
      <c r="E38" s="1">
        <v>21.505400000000002</v>
      </c>
      <c r="F38" s="1">
        <v>32.794199999999996</v>
      </c>
      <c r="G38" s="1">
        <v>1</v>
      </c>
      <c r="H38">
        <f t="shared" si="0"/>
        <v>1.8224777517618667</v>
      </c>
      <c r="I38">
        <f t="shared" si="1"/>
        <v>0.86086317206630347</v>
      </c>
      <c r="J38">
        <f t="shared" si="2"/>
        <v>1</v>
      </c>
      <c r="K38">
        <f t="shared" si="3"/>
        <v>0</v>
      </c>
      <c r="L38">
        <f t="shared" si="4"/>
        <v>0.86086317206630347</v>
      </c>
      <c r="M38">
        <f t="shared" si="5"/>
        <v>-0.14981970464386318</v>
      </c>
    </row>
    <row r="39" spans="1:13" x14ac:dyDescent="0.3">
      <c r="A39" s="1">
        <v>34</v>
      </c>
      <c r="B39" s="1">
        <v>122.3764</v>
      </c>
      <c r="C39" s="1">
        <v>9.0537179999999999</v>
      </c>
      <c r="D39" s="1">
        <v>6.6702240000000002</v>
      </c>
      <c r="E39" s="1">
        <v>72.572000000000003</v>
      </c>
      <c r="F39" s="1">
        <v>318.48989999999998</v>
      </c>
      <c r="G39" s="1">
        <v>0</v>
      </c>
      <c r="H39">
        <f t="shared" si="0"/>
        <v>-0.97238303461878761</v>
      </c>
      <c r="I39">
        <f t="shared" si="1"/>
        <v>0.2744057677666909</v>
      </c>
      <c r="J39">
        <f t="shared" si="2"/>
        <v>0</v>
      </c>
      <c r="K39">
        <f t="shared" si="3"/>
        <v>0</v>
      </c>
      <c r="L39">
        <f t="shared" si="4"/>
        <v>0.7255942322333091</v>
      </c>
      <c r="M39">
        <f t="shared" si="5"/>
        <v>-0.3207643291746155</v>
      </c>
    </row>
    <row r="40" spans="1:13" x14ac:dyDescent="0.3">
      <c r="A40" s="1">
        <v>35</v>
      </c>
      <c r="B40" s="1">
        <v>69.549800000000005</v>
      </c>
      <c r="C40" s="1">
        <v>36.724414000000003</v>
      </c>
      <c r="D40" s="1">
        <v>39.827810999999997</v>
      </c>
      <c r="E40" s="1">
        <v>47.420400000000001</v>
      </c>
      <c r="F40" s="1">
        <v>104.0339</v>
      </c>
      <c r="G40" s="1">
        <v>0</v>
      </c>
      <c r="H40">
        <f t="shared" si="0"/>
        <v>-2.2547256560568343</v>
      </c>
      <c r="I40">
        <f t="shared" si="1"/>
        <v>9.4942618266739789E-2</v>
      </c>
      <c r="J40">
        <f t="shared" si="2"/>
        <v>0</v>
      </c>
      <c r="K40">
        <f t="shared" si="3"/>
        <v>0</v>
      </c>
      <c r="L40">
        <f t="shared" si="4"/>
        <v>0.90505738173326022</v>
      </c>
      <c r="M40">
        <f t="shared" si="5"/>
        <v>-9.9756932062115777E-2</v>
      </c>
    </row>
    <row r="41" spans="1:13" x14ac:dyDescent="0.3">
      <c r="A41" s="1">
        <v>36</v>
      </c>
      <c r="B41" s="1">
        <v>161.37200000000001</v>
      </c>
      <c r="C41" s="1">
        <v>6.2935049999999997</v>
      </c>
      <c r="D41" s="1">
        <v>1.8288819999999999</v>
      </c>
      <c r="E41" s="1">
        <v>59.169800000000002</v>
      </c>
      <c r="F41" s="1">
        <v>193.7681</v>
      </c>
      <c r="G41" s="1">
        <v>0</v>
      </c>
      <c r="H41">
        <f t="shared" si="0"/>
        <v>-0.65485344992329608</v>
      </c>
      <c r="I41">
        <f t="shared" si="1"/>
        <v>0.34189665844369194</v>
      </c>
      <c r="J41">
        <f t="shared" si="2"/>
        <v>0</v>
      </c>
      <c r="K41">
        <f t="shared" si="3"/>
        <v>0</v>
      </c>
      <c r="L41">
        <f t="shared" si="4"/>
        <v>0.65810334155630801</v>
      </c>
      <c r="M41">
        <f t="shared" si="5"/>
        <v>-0.4183933059515717</v>
      </c>
    </row>
    <row r="42" spans="1:13" x14ac:dyDescent="0.3">
      <c r="A42" s="1">
        <v>37</v>
      </c>
      <c r="B42" s="1">
        <v>551.65499999999997</v>
      </c>
      <c r="C42" s="1">
        <v>27.582747999999999</v>
      </c>
      <c r="D42" s="1">
        <v>5.4262790000000001</v>
      </c>
      <c r="E42" s="1">
        <v>306.92079999999999</v>
      </c>
      <c r="F42" s="1">
        <v>181.46940000000001</v>
      </c>
      <c r="G42" s="1">
        <v>0</v>
      </c>
      <c r="H42">
        <f t="shared" si="0"/>
        <v>-11.715629651791557</v>
      </c>
      <c r="I42">
        <f t="shared" si="1"/>
        <v>8.1651307601432991E-6</v>
      </c>
      <c r="J42">
        <f t="shared" si="2"/>
        <v>0</v>
      </c>
      <c r="K42">
        <f t="shared" si="3"/>
        <v>0</v>
      </c>
      <c r="L42">
        <f t="shared" si="4"/>
        <v>0.99999183486923982</v>
      </c>
      <c r="M42">
        <f t="shared" si="5"/>
        <v>-8.1651640950465013E-6</v>
      </c>
    </row>
    <row r="43" spans="1:13" x14ac:dyDescent="0.3">
      <c r="A43" s="1">
        <v>38</v>
      </c>
      <c r="B43" s="1">
        <v>182.38339999999999</v>
      </c>
      <c r="C43" s="1">
        <v>19.927461000000001</v>
      </c>
      <c r="D43" s="1">
        <v>2.7875649999999998</v>
      </c>
      <c r="E43" s="1">
        <v>10.3626</v>
      </c>
      <c r="F43" s="1">
        <v>118.2642</v>
      </c>
      <c r="G43" s="1">
        <v>0</v>
      </c>
      <c r="H43">
        <f t="shared" si="0"/>
        <v>-0.47252769285708229</v>
      </c>
      <c r="I43">
        <f t="shared" si="1"/>
        <v>0.38401814736506584</v>
      </c>
      <c r="J43">
        <f t="shared" si="2"/>
        <v>0</v>
      </c>
      <c r="K43">
        <f t="shared" si="3"/>
        <v>0</v>
      </c>
      <c r="L43">
        <f t="shared" si="4"/>
        <v>0.6159818526349341</v>
      </c>
      <c r="M43">
        <f t="shared" si="5"/>
        <v>-0.48453777589079572</v>
      </c>
    </row>
    <row r="44" spans="1:13" x14ac:dyDescent="0.3">
      <c r="A44" s="1">
        <v>39</v>
      </c>
      <c r="B44" s="1">
        <v>328.18959999999998</v>
      </c>
      <c r="C44" s="1">
        <v>3.979425</v>
      </c>
      <c r="D44" s="1">
        <v>1.937022</v>
      </c>
      <c r="E44" s="1">
        <v>341.23700000000002</v>
      </c>
      <c r="F44" s="1">
        <v>519.79359999999997</v>
      </c>
      <c r="G44" s="1">
        <v>0</v>
      </c>
      <c r="H44">
        <f t="shared" si="0"/>
        <v>-8.3023136124662216</v>
      </c>
      <c r="I44">
        <f t="shared" si="1"/>
        <v>2.4788105984213725E-4</v>
      </c>
      <c r="J44">
        <f t="shared" si="2"/>
        <v>0</v>
      </c>
      <c r="K44">
        <f t="shared" si="3"/>
        <v>0</v>
      </c>
      <c r="L44">
        <f t="shared" si="4"/>
        <v>0.99975211894015781</v>
      </c>
      <c r="M44">
        <f t="shared" si="5"/>
        <v>-2.479117874300693E-4</v>
      </c>
    </row>
    <row r="45" spans="1:13" x14ac:dyDescent="0.3">
      <c r="A45" s="1">
        <v>40</v>
      </c>
      <c r="B45" s="1">
        <v>241.71199999999999</v>
      </c>
      <c r="C45" s="1">
        <v>8.6438299999999995</v>
      </c>
      <c r="D45" s="1">
        <v>19.643474999999999</v>
      </c>
      <c r="E45" s="1">
        <v>970.35080000000005</v>
      </c>
      <c r="F45" s="1">
        <v>78.421800000000005</v>
      </c>
      <c r="G45" s="1">
        <v>0</v>
      </c>
      <c r="H45">
        <f t="shared" si="0"/>
        <v>-13.376048741237765</v>
      </c>
      <c r="I45">
        <f t="shared" si="1"/>
        <v>1.5518693939790358E-6</v>
      </c>
      <c r="J45">
        <f t="shared" si="2"/>
        <v>0</v>
      </c>
      <c r="K45">
        <f t="shared" si="3"/>
        <v>0</v>
      </c>
      <c r="L45">
        <f t="shared" si="4"/>
        <v>0.99999844813060601</v>
      </c>
      <c r="M45">
        <f t="shared" si="5"/>
        <v>-1.5518705981403226E-6</v>
      </c>
    </row>
    <row r="46" spans="1:13" x14ac:dyDescent="0.3">
      <c r="A46" s="1">
        <v>41</v>
      </c>
      <c r="B46" s="1">
        <v>175.3862</v>
      </c>
      <c r="C46" s="1">
        <v>21.978076999999999</v>
      </c>
      <c r="D46" s="1">
        <v>13.692078</v>
      </c>
      <c r="E46" s="1">
        <v>58.794199999999996</v>
      </c>
      <c r="F46" s="1">
        <v>78.313400000000001</v>
      </c>
      <c r="G46" s="1">
        <v>0</v>
      </c>
      <c r="H46">
        <f t="shared" si="0"/>
        <v>-1.773781650424664</v>
      </c>
      <c r="I46">
        <f t="shared" si="1"/>
        <v>0.14507267390168108</v>
      </c>
      <c r="J46">
        <f t="shared" si="2"/>
        <v>0</v>
      </c>
      <c r="K46">
        <f t="shared" si="3"/>
        <v>0</v>
      </c>
      <c r="L46">
        <f t="shared" si="4"/>
        <v>0.8549273260983189</v>
      </c>
      <c r="M46">
        <f t="shared" si="5"/>
        <v>-0.15673881237338885</v>
      </c>
    </row>
    <row r="47" spans="1:13" x14ac:dyDescent="0.3">
      <c r="A47" s="1">
        <v>42</v>
      </c>
      <c r="B47" s="1">
        <v>448.85840000000002</v>
      </c>
      <c r="C47" s="1">
        <v>16.29569</v>
      </c>
      <c r="D47" s="1">
        <v>12.220743000000001</v>
      </c>
      <c r="E47" s="1">
        <v>54.878599999999999</v>
      </c>
      <c r="F47" s="1">
        <v>181.03559999999999</v>
      </c>
      <c r="G47" s="1">
        <v>0</v>
      </c>
      <c r="H47">
        <f t="shared" si="0"/>
        <v>-7.490910989196907</v>
      </c>
      <c r="I47">
        <f t="shared" si="1"/>
        <v>5.5782293441761482E-4</v>
      </c>
      <c r="J47">
        <f t="shared" si="2"/>
        <v>0</v>
      </c>
      <c r="K47">
        <f t="shared" si="3"/>
        <v>0</v>
      </c>
      <c r="L47">
        <f t="shared" si="4"/>
        <v>0.99944217706558236</v>
      </c>
      <c r="M47">
        <f t="shared" si="5"/>
        <v>-5.5797857551352767E-4</v>
      </c>
    </row>
    <row r="48" spans="1:13" x14ac:dyDescent="0.3">
      <c r="A48" s="1">
        <v>43</v>
      </c>
      <c r="B48" s="1">
        <v>58.769100000000002</v>
      </c>
      <c r="C48" s="1">
        <v>32.248958999999999</v>
      </c>
      <c r="D48" s="1">
        <v>7.0198980000000004</v>
      </c>
      <c r="E48" s="1">
        <v>39.796399999999998</v>
      </c>
      <c r="F48" s="1">
        <v>134.58539999999999</v>
      </c>
      <c r="G48" s="1">
        <v>1</v>
      </c>
      <c r="H48">
        <f t="shared" si="0"/>
        <v>1.1524684073132319</v>
      </c>
      <c r="I48">
        <f t="shared" si="1"/>
        <v>0.75996149276778069</v>
      </c>
      <c r="J48">
        <f t="shared" si="2"/>
        <v>1</v>
      </c>
      <c r="K48">
        <f t="shared" si="3"/>
        <v>0</v>
      </c>
      <c r="L48">
        <f t="shared" si="4"/>
        <v>0.75996149276778069</v>
      </c>
      <c r="M48">
        <f t="shared" si="5"/>
        <v>-0.27448751439621177</v>
      </c>
    </row>
    <row r="49" spans="1:13" x14ac:dyDescent="0.3">
      <c r="A49" s="1">
        <v>44</v>
      </c>
      <c r="B49" s="1">
        <v>102.05185</v>
      </c>
      <c r="C49" s="1">
        <v>21.846651999999999</v>
      </c>
      <c r="D49" s="1">
        <v>4.7408210000000004</v>
      </c>
      <c r="E49" s="1">
        <v>15.6587</v>
      </c>
      <c r="F49" s="1">
        <v>177.72569999999999</v>
      </c>
      <c r="G49" s="1">
        <v>1</v>
      </c>
      <c r="H49">
        <f t="shared" si="0"/>
        <v>0.67204844926932505</v>
      </c>
      <c r="I49">
        <f t="shared" si="1"/>
        <v>0.66196168940766709</v>
      </c>
      <c r="J49">
        <f t="shared" si="2"/>
        <v>1</v>
      </c>
      <c r="K49">
        <f t="shared" si="3"/>
        <v>0</v>
      </c>
      <c r="L49">
        <f t="shared" si="4"/>
        <v>0.66196168940766709</v>
      </c>
      <c r="M49">
        <f t="shared" si="5"/>
        <v>-0.41254759570511607</v>
      </c>
    </row>
    <row r="50" spans="1:13" x14ac:dyDescent="0.3">
      <c r="A50" s="1">
        <v>45</v>
      </c>
      <c r="B50" s="1">
        <v>919.11860000000001</v>
      </c>
      <c r="C50" s="1">
        <v>12.946122000000001</v>
      </c>
      <c r="D50" s="1">
        <v>5.4107760000000003</v>
      </c>
      <c r="E50" s="1">
        <v>9.1707999999999998</v>
      </c>
      <c r="F50" s="1">
        <v>98.875900000000001</v>
      </c>
      <c r="G50" s="1">
        <v>0</v>
      </c>
      <c r="H50">
        <f t="shared" si="0"/>
        <v>-15.555694029852377</v>
      </c>
      <c r="I50">
        <f t="shared" si="1"/>
        <v>1.7548816971558928E-7</v>
      </c>
      <c r="J50">
        <f t="shared" si="2"/>
        <v>0</v>
      </c>
      <c r="K50">
        <f t="shared" si="3"/>
        <v>0</v>
      </c>
      <c r="L50">
        <f t="shared" si="4"/>
        <v>0.99999982451183034</v>
      </c>
      <c r="M50">
        <f t="shared" si="5"/>
        <v>-1.7548818506055833E-7</v>
      </c>
    </row>
    <row r="51" spans="1:13" x14ac:dyDescent="0.3">
      <c r="A51" s="1">
        <v>46</v>
      </c>
      <c r="B51" s="1">
        <v>157.173</v>
      </c>
      <c r="C51" s="1">
        <v>8.2362870000000008</v>
      </c>
      <c r="D51" s="1">
        <v>1.4219409999999999</v>
      </c>
      <c r="E51" s="1">
        <v>48.101300000000002</v>
      </c>
      <c r="F51" s="1">
        <v>101.1097</v>
      </c>
      <c r="G51" s="1">
        <v>1</v>
      </c>
      <c r="H51">
        <f t="shared" si="0"/>
        <v>-7.4579669567743423E-2</v>
      </c>
      <c r="I51">
        <f t="shared" si="1"/>
        <v>0.48136371992062471</v>
      </c>
      <c r="J51">
        <f t="shared" si="2"/>
        <v>0</v>
      </c>
      <c r="K51">
        <f t="shared" si="3"/>
        <v>1</v>
      </c>
      <c r="L51">
        <f t="shared" si="4"/>
        <v>0.48136371992062471</v>
      </c>
      <c r="M51">
        <f t="shared" si="5"/>
        <v>-0.73113212016109297</v>
      </c>
    </row>
    <row r="52" spans="1:13" x14ac:dyDescent="0.3">
      <c r="A52" s="1">
        <v>47</v>
      </c>
      <c r="B52" s="1">
        <v>113.3558</v>
      </c>
      <c r="C52" s="1">
        <v>30.756011000000001</v>
      </c>
      <c r="D52" s="1">
        <v>13.094433</v>
      </c>
      <c r="E52" s="1">
        <v>51.192999999999998</v>
      </c>
      <c r="F52" s="1">
        <v>140.1842</v>
      </c>
      <c r="G52" s="1">
        <v>0</v>
      </c>
      <c r="H52">
        <f t="shared" si="0"/>
        <v>-0.67849869146515207</v>
      </c>
      <c r="I52">
        <f t="shared" si="1"/>
        <v>0.33659646143209149</v>
      </c>
      <c r="J52">
        <f t="shared" si="2"/>
        <v>0</v>
      </c>
      <c r="K52">
        <f t="shared" si="3"/>
        <v>0</v>
      </c>
      <c r="L52">
        <f t="shared" si="4"/>
        <v>0.66340353856790846</v>
      </c>
      <c r="M52">
        <f t="shared" si="5"/>
        <v>-0.41037181849500481</v>
      </c>
    </row>
    <row r="53" spans="1:13" x14ac:dyDescent="0.3">
      <c r="A53" s="1">
        <v>48</v>
      </c>
      <c r="B53" s="1">
        <v>417.32279999999997</v>
      </c>
      <c r="C53" s="1">
        <v>18.725394000000001</v>
      </c>
      <c r="D53" s="1">
        <v>19.699802999999999</v>
      </c>
      <c r="E53" s="1">
        <v>200.78739999999999</v>
      </c>
      <c r="F53" s="1">
        <v>179.03540000000001</v>
      </c>
      <c r="G53" s="1">
        <v>0</v>
      </c>
      <c r="H53">
        <f t="shared" si="0"/>
        <v>-9.1540474962837699</v>
      </c>
      <c r="I53">
        <f t="shared" si="1"/>
        <v>1.0577955687695078E-4</v>
      </c>
      <c r="J53">
        <f t="shared" si="2"/>
        <v>0</v>
      </c>
      <c r="K53">
        <f t="shared" si="3"/>
        <v>0</v>
      </c>
      <c r="L53">
        <f t="shared" si="4"/>
        <v>0.99989422044312304</v>
      </c>
      <c r="M53">
        <f t="shared" si="5"/>
        <v>-1.0578515192885293E-4</v>
      </c>
    </row>
    <row r="54" spans="1:13" x14ac:dyDescent="0.3">
      <c r="A54" s="1">
        <v>49</v>
      </c>
      <c r="B54" s="1">
        <v>277.78359999999998</v>
      </c>
      <c r="C54" s="1">
        <v>10.678865</v>
      </c>
      <c r="D54" s="1">
        <v>27.549641000000001</v>
      </c>
      <c r="E54" s="1">
        <v>123.92140000000001</v>
      </c>
      <c r="F54" s="1">
        <v>259.12</v>
      </c>
      <c r="G54" s="1">
        <v>0</v>
      </c>
      <c r="H54">
        <f t="shared" si="0"/>
        <v>-6.4967287008483758</v>
      </c>
      <c r="I54">
        <f t="shared" si="1"/>
        <v>1.5060937058601824E-3</v>
      </c>
      <c r="J54">
        <f t="shared" si="2"/>
        <v>0</v>
      </c>
      <c r="K54">
        <f t="shared" si="3"/>
        <v>0</v>
      </c>
      <c r="L54">
        <f t="shared" si="4"/>
        <v>0.99849390629413981</v>
      </c>
      <c r="M54">
        <f t="shared" si="5"/>
        <v>-1.5072290050400878E-3</v>
      </c>
    </row>
    <row r="55" spans="1:13" x14ac:dyDescent="0.3">
      <c r="A55" s="1">
        <v>50</v>
      </c>
      <c r="B55" s="1">
        <v>95.724000000000004</v>
      </c>
      <c r="C55" s="1">
        <v>39.450245000000002</v>
      </c>
      <c r="D55" s="1">
        <v>8.0348319999999998</v>
      </c>
      <c r="E55" s="1">
        <v>138.7998</v>
      </c>
      <c r="F55" s="1">
        <v>163.7998</v>
      </c>
      <c r="G55" s="1">
        <v>0</v>
      </c>
      <c r="H55">
        <f t="shared" si="0"/>
        <v>-0.92761320692686322</v>
      </c>
      <c r="I55">
        <f t="shared" si="1"/>
        <v>0.28340919386235114</v>
      </c>
      <c r="J55">
        <f t="shared" si="2"/>
        <v>0</v>
      </c>
      <c r="K55">
        <f t="shared" si="3"/>
        <v>0</v>
      </c>
      <c r="L55">
        <f t="shared" si="4"/>
        <v>0.71659080613764892</v>
      </c>
      <c r="M55">
        <f t="shared" si="5"/>
        <v>-0.33325030403220113</v>
      </c>
    </row>
    <row r="56" spans="1:13" x14ac:dyDescent="0.3">
      <c r="A56" s="1">
        <v>51</v>
      </c>
      <c r="B56" s="1">
        <v>133.06120000000001</v>
      </c>
      <c r="C56" s="1">
        <v>31.008163</v>
      </c>
      <c r="D56" s="1">
        <v>16.583673000000001</v>
      </c>
      <c r="E56" s="1">
        <v>5.7141999999999999</v>
      </c>
      <c r="F56" s="1">
        <v>44.591799999999999</v>
      </c>
      <c r="G56" s="1">
        <v>0</v>
      </c>
      <c r="H56">
        <f t="shared" si="0"/>
        <v>-0.56859315786101483</v>
      </c>
      <c r="I56">
        <f t="shared" si="1"/>
        <v>0.3615615096634629</v>
      </c>
      <c r="J56">
        <f t="shared" si="2"/>
        <v>0</v>
      </c>
      <c r="K56">
        <f t="shared" si="3"/>
        <v>0</v>
      </c>
      <c r="L56">
        <f t="shared" si="4"/>
        <v>0.6384384903365371</v>
      </c>
      <c r="M56">
        <f t="shared" si="5"/>
        <v>-0.44872994278347983</v>
      </c>
    </row>
    <row r="57" spans="1:13" x14ac:dyDescent="0.3">
      <c r="A57" s="1">
        <v>52</v>
      </c>
      <c r="B57" s="1">
        <v>39.968600000000002</v>
      </c>
      <c r="C57" s="1">
        <v>20.952193999999999</v>
      </c>
      <c r="D57" s="1">
        <v>14.874608</v>
      </c>
      <c r="E57" s="1">
        <v>126.1756</v>
      </c>
      <c r="F57" s="1">
        <v>123.7461</v>
      </c>
      <c r="G57" s="1">
        <v>0</v>
      </c>
      <c r="H57">
        <f t="shared" si="0"/>
        <v>-2.4556898172764186E-2</v>
      </c>
      <c r="I57">
        <f t="shared" si="1"/>
        <v>0.49386108395534106</v>
      </c>
      <c r="J57">
        <f t="shared" si="2"/>
        <v>0</v>
      </c>
      <c r="K57">
        <f t="shared" si="3"/>
        <v>0</v>
      </c>
      <c r="L57">
        <f t="shared" si="4"/>
        <v>0.50613891604465899</v>
      </c>
      <c r="M57">
        <f t="shared" si="5"/>
        <v>-0.68094410973556685</v>
      </c>
    </row>
    <row r="58" spans="1:13" x14ac:dyDescent="0.3">
      <c r="A58" s="1">
        <v>53</v>
      </c>
      <c r="B58" s="1">
        <v>102.1739</v>
      </c>
      <c r="C58" s="1">
        <v>27.339130000000001</v>
      </c>
      <c r="D58" s="1">
        <v>3.93913</v>
      </c>
      <c r="E58" s="1">
        <v>38.260899999999999</v>
      </c>
      <c r="F58" s="1">
        <v>165.08699999999999</v>
      </c>
      <c r="G58" s="1">
        <v>1</v>
      </c>
      <c r="H58">
        <f t="shared" si="0"/>
        <v>0.50931549534320109</v>
      </c>
      <c r="I58">
        <f t="shared" si="1"/>
        <v>0.6246459968944148</v>
      </c>
      <c r="J58">
        <f t="shared" si="2"/>
        <v>1</v>
      </c>
      <c r="K58">
        <f t="shared" si="3"/>
        <v>0</v>
      </c>
      <c r="L58">
        <f t="shared" si="4"/>
        <v>0.6246459968944148</v>
      </c>
      <c r="M58">
        <f t="shared" si="5"/>
        <v>-0.47057019468256234</v>
      </c>
    </row>
    <row r="59" spans="1:13" x14ac:dyDescent="0.3">
      <c r="A59" s="1">
        <v>54</v>
      </c>
      <c r="B59" s="1">
        <v>16.966049999999999</v>
      </c>
      <c r="C59" s="1">
        <v>50.933134000000003</v>
      </c>
      <c r="D59" s="1">
        <v>29.780439000000001</v>
      </c>
      <c r="E59" s="1">
        <v>12.475</v>
      </c>
      <c r="F59" s="1">
        <v>41.914200000000001</v>
      </c>
      <c r="G59" s="1">
        <v>1</v>
      </c>
      <c r="H59">
        <f t="shared" si="0"/>
        <v>0.28796139729896675</v>
      </c>
      <c r="I59">
        <f t="shared" si="1"/>
        <v>0.57149697614835626</v>
      </c>
      <c r="J59">
        <f t="shared" si="2"/>
        <v>1</v>
      </c>
      <c r="K59">
        <f t="shared" si="3"/>
        <v>0</v>
      </c>
      <c r="L59">
        <f t="shared" si="4"/>
        <v>0.57149697614835626</v>
      </c>
      <c r="M59">
        <f t="shared" si="5"/>
        <v>-0.5594960868402612</v>
      </c>
    </row>
    <row r="60" spans="1:13" x14ac:dyDescent="0.3">
      <c r="A60" s="1">
        <v>55</v>
      </c>
      <c r="B60" s="1">
        <v>293.51799999999997</v>
      </c>
      <c r="C60" s="1">
        <v>43.684224</v>
      </c>
      <c r="D60" s="1">
        <v>7.010084</v>
      </c>
      <c r="E60" s="1">
        <v>48.919600000000003</v>
      </c>
      <c r="F60" s="1">
        <v>206.62729999999999</v>
      </c>
      <c r="G60" s="1">
        <v>0</v>
      </c>
      <c r="H60">
        <f t="shared" si="0"/>
        <v>-4.0790288559906482</v>
      </c>
      <c r="I60">
        <f t="shared" si="1"/>
        <v>1.6642241690970182E-2</v>
      </c>
      <c r="J60">
        <f t="shared" si="2"/>
        <v>0</v>
      </c>
      <c r="K60">
        <f t="shared" si="3"/>
        <v>0</v>
      </c>
      <c r="L60">
        <f t="shared" si="4"/>
        <v>0.98335775830902983</v>
      </c>
      <c r="M60">
        <f t="shared" si="5"/>
        <v>-1.6782279666527632E-2</v>
      </c>
    </row>
    <row r="61" spans="1:13" x14ac:dyDescent="0.3">
      <c r="A61" s="1">
        <v>56</v>
      </c>
      <c r="B61" s="1">
        <v>133.33340000000001</v>
      </c>
      <c r="C61" s="1">
        <v>23.614379</v>
      </c>
      <c r="D61" s="1">
        <v>10.098039</v>
      </c>
      <c r="E61" s="1">
        <v>24.836600000000001</v>
      </c>
      <c r="F61" s="1">
        <v>92.9739</v>
      </c>
      <c r="G61" s="1">
        <v>0</v>
      </c>
      <c r="H61">
        <f t="shared" si="0"/>
        <v>-0.27446345685578244</v>
      </c>
      <c r="I61">
        <f t="shared" si="1"/>
        <v>0.43181165275040018</v>
      </c>
      <c r="J61">
        <f t="shared" si="2"/>
        <v>0</v>
      </c>
      <c r="K61">
        <f t="shared" si="3"/>
        <v>0</v>
      </c>
      <c r="L61">
        <f t="shared" si="4"/>
        <v>0.56818834724959988</v>
      </c>
      <c r="M61">
        <f t="shared" si="5"/>
        <v>-0.56530231795678754</v>
      </c>
    </row>
    <row r="62" spans="1:13" x14ac:dyDescent="0.3">
      <c r="A62" s="1">
        <v>57</v>
      </c>
      <c r="B62" s="1">
        <v>131.6343</v>
      </c>
      <c r="C62" s="1">
        <v>12.737845</v>
      </c>
      <c r="D62" s="1">
        <v>5.5919829999999999</v>
      </c>
      <c r="E62" s="1">
        <v>3.4641000000000002</v>
      </c>
      <c r="F62" s="1">
        <v>38.589300000000001</v>
      </c>
      <c r="G62" s="1">
        <v>1</v>
      </c>
      <c r="H62">
        <f t="shared" si="0"/>
        <v>0.72011049981871533</v>
      </c>
      <c r="I62">
        <f t="shared" si="1"/>
        <v>0.67263134941707492</v>
      </c>
      <c r="J62">
        <f t="shared" si="2"/>
        <v>1</v>
      </c>
      <c r="K62">
        <f t="shared" si="3"/>
        <v>0</v>
      </c>
      <c r="L62">
        <f t="shared" si="4"/>
        <v>0.67263134941707492</v>
      </c>
      <c r="M62">
        <f t="shared" si="5"/>
        <v>-0.3965578714593303</v>
      </c>
    </row>
    <row r="63" spans="1:13" x14ac:dyDescent="0.3">
      <c r="A63" s="1">
        <v>58</v>
      </c>
      <c r="B63" s="1">
        <v>30.389150000000001</v>
      </c>
      <c r="C63" s="1">
        <v>42.006177000000001</v>
      </c>
      <c r="D63" s="1">
        <v>11.147622</v>
      </c>
      <c r="E63" s="1">
        <v>37.554000000000002</v>
      </c>
      <c r="F63" s="1">
        <v>141.80420000000001</v>
      </c>
      <c r="G63" s="1">
        <v>1</v>
      </c>
      <c r="H63">
        <f t="shared" si="0"/>
        <v>1.2473535416147952</v>
      </c>
      <c r="I63">
        <f t="shared" si="1"/>
        <v>0.77684141038734789</v>
      </c>
      <c r="J63">
        <f t="shared" si="2"/>
        <v>1</v>
      </c>
      <c r="K63">
        <f t="shared" si="3"/>
        <v>0</v>
      </c>
      <c r="L63">
        <f t="shared" si="4"/>
        <v>0.77684141038734789</v>
      </c>
      <c r="M63">
        <f t="shared" si="5"/>
        <v>-0.25251905448234541</v>
      </c>
    </row>
    <row r="64" spans="1:13" x14ac:dyDescent="0.3">
      <c r="A64" s="1">
        <v>59</v>
      </c>
      <c r="B64" s="1">
        <v>88.869799999999998</v>
      </c>
      <c r="C64" s="1">
        <v>19.162552000000002</v>
      </c>
      <c r="D64" s="1">
        <v>18.752382999999998</v>
      </c>
      <c r="E64" s="1">
        <v>8.5451999999999995</v>
      </c>
      <c r="F64" s="1">
        <v>113.0153</v>
      </c>
      <c r="G64" s="1">
        <v>0</v>
      </c>
      <c r="H64">
        <f t="shared" si="0"/>
        <v>-7.7620243754775053E-2</v>
      </c>
      <c r="I64">
        <f t="shared" si="1"/>
        <v>0.48060467599453521</v>
      </c>
      <c r="J64">
        <f t="shared" si="2"/>
        <v>0</v>
      </c>
      <c r="K64">
        <f t="shared" si="3"/>
        <v>0</v>
      </c>
      <c r="L64">
        <f t="shared" si="4"/>
        <v>0.51939532400546473</v>
      </c>
      <c r="M64">
        <f t="shared" si="5"/>
        <v>-0.65508998247890993</v>
      </c>
    </row>
    <row r="65" spans="1:13" x14ac:dyDescent="0.3">
      <c r="A65" s="1">
        <v>60</v>
      </c>
      <c r="B65" s="1">
        <v>59.764200000000002</v>
      </c>
      <c r="C65" s="1">
        <v>9.0393369999999997</v>
      </c>
      <c r="D65" s="1">
        <v>19.432707000000001</v>
      </c>
      <c r="E65" s="1">
        <v>42.955599999999997</v>
      </c>
      <c r="F65" s="1">
        <v>50.213000000000001</v>
      </c>
      <c r="G65" s="1">
        <v>0</v>
      </c>
      <c r="H65">
        <f t="shared" si="0"/>
        <v>0.39745278764816039</v>
      </c>
      <c r="I65">
        <f t="shared" si="1"/>
        <v>0.59807551142324566</v>
      </c>
      <c r="J65">
        <f t="shared" si="2"/>
        <v>1</v>
      </c>
      <c r="K65">
        <f t="shared" si="3"/>
        <v>1</v>
      </c>
      <c r="L65">
        <f t="shared" si="4"/>
        <v>0.40192448857675434</v>
      </c>
      <c r="M65">
        <f t="shared" si="5"/>
        <v>-0.91149104736844599</v>
      </c>
    </row>
    <row r="66" spans="1:13" x14ac:dyDescent="0.3">
      <c r="A66" s="1">
        <v>61</v>
      </c>
      <c r="B66" s="1">
        <v>34.296950000000002</v>
      </c>
      <c r="C66" s="1">
        <v>31.876764000000001</v>
      </c>
      <c r="D66" s="1">
        <v>12.722232999999999</v>
      </c>
      <c r="E66" s="1">
        <v>112.9211</v>
      </c>
      <c r="F66" s="1">
        <v>79.889099999999999</v>
      </c>
      <c r="G66" s="1">
        <v>1</v>
      </c>
      <c r="H66">
        <f t="shared" si="0"/>
        <v>0.52190808787593257</v>
      </c>
      <c r="I66">
        <f t="shared" si="1"/>
        <v>0.62759383272047164</v>
      </c>
      <c r="J66">
        <f t="shared" si="2"/>
        <v>1</v>
      </c>
      <c r="K66">
        <f t="shared" si="3"/>
        <v>0</v>
      </c>
      <c r="L66">
        <f t="shared" si="4"/>
        <v>0.62759383272047164</v>
      </c>
      <c r="M66">
        <f t="shared" si="5"/>
        <v>-0.46586208493943349</v>
      </c>
    </row>
    <row r="67" spans="1:13" x14ac:dyDescent="0.3">
      <c r="A67" s="1">
        <v>62</v>
      </c>
      <c r="B67" s="1">
        <v>75.825500000000005</v>
      </c>
      <c r="C67" s="1">
        <v>11.58989</v>
      </c>
      <c r="D67" s="1">
        <v>0.627803</v>
      </c>
      <c r="E67" s="1">
        <v>5.2995999999999999</v>
      </c>
      <c r="F67" s="1">
        <v>44.250700000000002</v>
      </c>
      <c r="G67" s="1">
        <v>1</v>
      </c>
      <c r="H67">
        <f t="shared" si="0"/>
        <v>2.3042417707636558</v>
      </c>
      <c r="I67">
        <f t="shared" si="1"/>
        <v>0.90922773184862926</v>
      </c>
      <c r="J67">
        <f t="shared" si="2"/>
        <v>1</v>
      </c>
      <c r="K67">
        <f t="shared" si="3"/>
        <v>0</v>
      </c>
      <c r="L67">
        <f t="shared" si="4"/>
        <v>0.90922773184862926</v>
      </c>
      <c r="M67">
        <f t="shared" si="5"/>
        <v>-9.5159686095578955E-2</v>
      </c>
    </row>
    <row r="68" spans="1:13" x14ac:dyDescent="0.3">
      <c r="A68" s="1">
        <v>63</v>
      </c>
      <c r="B68" s="1">
        <v>60.285200000000003</v>
      </c>
      <c r="C68" s="1">
        <v>15.595086999999999</v>
      </c>
      <c r="D68" s="1">
        <v>11.274884</v>
      </c>
      <c r="E68" s="1">
        <v>2.5413000000000001</v>
      </c>
      <c r="F68" s="1">
        <v>4.9297000000000004</v>
      </c>
      <c r="G68" s="1">
        <v>1</v>
      </c>
      <c r="H68">
        <f t="shared" si="0"/>
        <v>1.7329941904818607</v>
      </c>
      <c r="I68">
        <f t="shared" si="1"/>
        <v>0.84979500948133635</v>
      </c>
      <c r="J68">
        <f t="shared" si="2"/>
        <v>1</v>
      </c>
      <c r="K68">
        <f t="shared" si="3"/>
        <v>0</v>
      </c>
      <c r="L68">
        <f t="shared" si="4"/>
        <v>0.84979500948133635</v>
      </c>
      <c r="M68">
        <f t="shared" si="5"/>
        <v>-0.16276012389888092</v>
      </c>
    </row>
    <row r="69" spans="1:13" x14ac:dyDescent="0.3">
      <c r="A69" s="1">
        <v>64</v>
      </c>
      <c r="B69" s="1">
        <v>52.327399999999997</v>
      </c>
      <c r="C69" s="1">
        <v>17.149460000000001</v>
      </c>
      <c r="D69" s="1">
        <v>7.4723649999999999</v>
      </c>
      <c r="E69" s="1">
        <v>26.512599999999999</v>
      </c>
      <c r="F69" s="1">
        <v>175.00550000000001</v>
      </c>
      <c r="G69" s="1">
        <v>0</v>
      </c>
      <c r="H69">
        <f t="shared" si="0"/>
        <v>1.3482544431384009</v>
      </c>
      <c r="I69">
        <f t="shared" si="1"/>
        <v>0.79384410449354836</v>
      </c>
      <c r="J69">
        <f t="shared" si="2"/>
        <v>1</v>
      </c>
      <c r="K69">
        <f t="shared" si="3"/>
        <v>1</v>
      </c>
      <c r="L69">
        <f t="shared" si="4"/>
        <v>0.20615589550645164</v>
      </c>
      <c r="M69">
        <f t="shared" si="5"/>
        <v>-1.5791226220986776</v>
      </c>
    </row>
    <row r="70" spans="1:13" x14ac:dyDescent="0.3">
      <c r="A70" s="1">
        <v>65</v>
      </c>
      <c r="B70" s="1">
        <v>112.3224</v>
      </c>
      <c r="C70" s="1">
        <v>20.515362</v>
      </c>
      <c r="D70" s="1">
        <v>19.081599000000001</v>
      </c>
      <c r="E70" s="1">
        <v>133.46539999999999</v>
      </c>
      <c r="F70" s="1">
        <v>41.187600000000003</v>
      </c>
      <c r="G70" s="1">
        <v>0</v>
      </c>
      <c r="H70">
        <f t="shared" si="0"/>
        <v>-1.6644847499297049</v>
      </c>
      <c r="I70">
        <f t="shared" si="1"/>
        <v>0.15916089085308965</v>
      </c>
      <c r="J70">
        <f t="shared" si="2"/>
        <v>0</v>
      </c>
      <c r="K70">
        <f t="shared" si="3"/>
        <v>0</v>
      </c>
      <c r="L70">
        <f t="shared" si="4"/>
        <v>0.84083910914691029</v>
      </c>
      <c r="M70">
        <f t="shared" si="5"/>
        <v>-0.17335494629216808</v>
      </c>
    </row>
    <row r="71" spans="1:13" x14ac:dyDescent="0.3">
      <c r="A71" s="1">
        <v>66</v>
      </c>
      <c r="B71" s="1">
        <v>1112.9494</v>
      </c>
      <c r="C71" s="1">
        <v>10.174992</v>
      </c>
      <c r="D71" s="1">
        <v>10.034998</v>
      </c>
      <c r="E71" s="1">
        <v>5.7270000000000003</v>
      </c>
      <c r="F71" s="1">
        <v>85.451800000000006</v>
      </c>
      <c r="G71" s="1">
        <v>0</v>
      </c>
      <c r="H71">
        <f t="shared" ref="H71:H92" si="6">SUMPRODUCT($B$4:$F$4,B71:F71)+$G$4</f>
        <v>-19.833499668314843</v>
      </c>
      <c r="I71">
        <f t="shared" ref="I71:I92" si="7">1/(1+EXP(0-H71))</f>
        <v>2.4345603022318557E-9</v>
      </c>
      <c r="J71">
        <f t="shared" ref="J71:J92" si="8">IF(I71&gt;0.5,1,0)</f>
        <v>0</v>
      </c>
      <c r="K71">
        <f t="shared" ref="K71:K92" si="9">IF(G71=J71,0,1)</f>
        <v>0</v>
      </c>
      <c r="L71">
        <f t="shared" ref="L71:L92" si="10">IF(G71=1,I71,1-I71)</f>
        <v>0.99999999756543967</v>
      </c>
      <c r="M71">
        <f t="shared" ref="M71:M92" si="11">IF(L71=0, -1000000, LN(L71))</f>
        <v>-2.4345603340739889E-9</v>
      </c>
    </row>
    <row r="72" spans="1:13" x14ac:dyDescent="0.3">
      <c r="A72" s="1">
        <v>67</v>
      </c>
      <c r="B72" s="1">
        <v>20.931899999999999</v>
      </c>
      <c r="C72" s="1">
        <v>27.724730999999998</v>
      </c>
      <c r="D72" s="1">
        <v>9.8437280000000005</v>
      </c>
      <c r="E72" s="1">
        <v>15.7706</v>
      </c>
      <c r="F72" s="1">
        <v>20.218599999999999</v>
      </c>
      <c r="G72" s="1">
        <v>1</v>
      </c>
      <c r="H72">
        <f t="shared" si="6"/>
        <v>2.3753040436325978</v>
      </c>
      <c r="I72">
        <f t="shared" si="7"/>
        <v>0.91492462399216645</v>
      </c>
      <c r="J72">
        <f t="shared" si="8"/>
        <v>1</v>
      </c>
      <c r="K72">
        <f t="shared" si="9"/>
        <v>0</v>
      </c>
      <c r="L72">
        <f t="shared" si="10"/>
        <v>0.91492462399216645</v>
      </c>
      <c r="M72">
        <f t="shared" si="11"/>
        <v>-8.89135952505197E-2</v>
      </c>
    </row>
    <row r="73" spans="1:13" x14ac:dyDescent="0.3">
      <c r="A73" s="1">
        <v>68</v>
      </c>
      <c r="B73" s="1">
        <v>2795.6318000000001</v>
      </c>
      <c r="C73" s="1">
        <v>10.682173000000001</v>
      </c>
      <c r="D73" s="1">
        <v>4.2433699999999996</v>
      </c>
      <c r="E73" s="1">
        <v>10.211399999999999</v>
      </c>
      <c r="F73" s="1">
        <v>36.3459</v>
      </c>
      <c r="G73" s="1">
        <v>0</v>
      </c>
      <c r="H73">
        <f t="shared" si="6"/>
        <v>-53.328082878797844</v>
      </c>
      <c r="I73">
        <f t="shared" si="7"/>
        <v>6.9168423179973595E-24</v>
      </c>
      <c r="J73">
        <f t="shared" si="8"/>
        <v>0</v>
      </c>
      <c r="K73">
        <f t="shared" si="9"/>
        <v>0</v>
      </c>
      <c r="L73">
        <f t="shared" si="10"/>
        <v>1</v>
      </c>
      <c r="M73">
        <f t="shared" si="11"/>
        <v>0</v>
      </c>
    </row>
    <row r="74" spans="1:13" x14ac:dyDescent="0.3">
      <c r="A74" s="1">
        <v>69</v>
      </c>
      <c r="B74" s="1">
        <v>124.73779999999999</v>
      </c>
      <c r="C74" s="1">
        <v>23.328166</v>
      </c>
      <c r="D74" s="1">
        <v>13.236072</v>
      </c>
      <c r="E74" s="1">
        <v>40.849800000000002</v>
      </c>
      <c r="F74" s="1">
        <v>80.803799999999995</v>
      </c>
      <c r="G74" s="1">
        <v>0</v>
      </c>
      <c r="H74">
        <f t="shared" si="6"/>
        <v>-0.52794643242342953</v>
      </c>
      <c r="I74">
        <f t="shared" si="7"/>
        <v>0.37099597728939615</v>
      </c>
      <c r="J74">
        <f t="shared" si="8"/>
        <v>0</v>
      </c>
      <c r="K74">
        <f t="shared" si="9"/>
        <v>0</v>
      </c>
      <c r="L74">
        <f t="shared" si="10"/>
        <v>0.62900402271060385</v>
      </c>
      <c r="M74">
        <f t="shared" si="11"/>
        <v>-0.46361762689578162</v>
      </c>
    </row>
    <row r="75" spans="1:13" x14ac:dyDescent="0.3">
      <c r="A75" s="1">
        <v>70</v>
      </c>
      <c r="B75" s="1">
        <v>461.43079999999998</v>
      </c>
      <c r="C75" s="1">
        <v>20.47879</v>
      </c>
      <c r="D75" s="1">
        <v>9.0662190000000002</v>
      </c>
      <c r="E75" s="1">
        <v>15.679600000000001</v>
      </c>
      <c r="F75" s="1">
        <v>88.838700000000003</v>
      </c>
      <c r="G75" s="1">
        <v>0</v>
      </c>
      <c r="H75">
        <f t="shared" si="6"/>
        <v>-6.7022062236126789</v>
      </c>
      <c r="I75">
        <f t="shared" si="7"/>
        <v>1.2266926063374333E-3</v>
      </c>
      <c r="J75">
        <f t="shared" si="8"/>
        <v>0</v>
      </c>
      <c r="K75">
        <f t="shared" si="9"/>
        <v>0</v>
      </c>
      <c r="L75">
        <f t="shared" si="10"/>
        <v>0.99877330739366255</v>
      </c>
      <c r="M75">
        <f t="shared" si="11"/>
        <v>-1.2274456095780052E-3</v>
      </c>
    </row>
    <row r="76" spans="1:13" x14ac:dyDescent="0.3">
      <c r="A76" s="1">
        <v>71</v>
      </c>
      <c r="B76" s="1">
        <v>120.726</v>
      </c>
      <c r="C76" s="1">
        <v>23.97214</v>
      </c>
      <c r="D76" s="1">
        <v>10.747151000000001</v>
      </c>
      <c r="E76" s="1">
        <v>12.663600000000001</v>
      </c>
      <c r="F76" s="1">
        <v>61.724400000000003</v>
      </c>
      <c r="G76" s="1">
        <v>0</v>
      </c>
      <c r="H76">
        <f t="shared" si="6"/>
        <v>0.16518750455424236</v>
      </c>
      <c r="I76">
        <f t="shared" si="7"/>
        <v>0.54120322632077067</v>
      </c>
      <c r="J76">
        <f t="shared" si="8"/>
        <v>1</v>
      </c>
      <c r="K76">
        <f t="shared" si="9"/>
        <v>1</v>
      </c>
      <c r="L76">
        <f t="shared" si="10"/>
        <v>0.45879677367922933</v>
      </c>
      <c r="M76">
        <f t="shared" si="11"/>
        <v>-0.77914792583702297</v>
      </c>
    </row>
    <row r="77" spans="1:13" x14ac:dyDescent="0.3">
      <c r="A77" s="1">
        <v>72</v>
      </c>
      <c r="B77" s="1">
        <v>18.136849999999999</v>
      </c>
      <c r="C77" s="1">
        <v>42.192909999999998</v>
      </c>
      <c r="D77" s="1">
        <v>10.350371000000001</v>
      </c>
      <c r="E77" s="1">
        <v>3.7098</v>
      </c>
      <c r="F77" s="1">
        <v>46.815300000000001</v>
      </c>
      <c r="G77" s="1">
        <v>1</v>
      </c>
      <c r="H77">
        <f t="shared" si="6"/>
        <v>2.2963840433900127</v>
      </c>
      <c r="I77">
        <f t="shared" si="7"/>
        <v>0.90857712393233669</v>
      </c>
      <c r="J77">
        <f t="shared" si="8"/>
        <v>1</v>
      </c>
      <c r="K77">
        <f t="shared" si="9"/>
        <v>0</v>
      </c>
      <c r="L77">
        <f t="shared" si="10"/>
        <v>0.90857712393233669</v>
      </c>
      <c r="M77">
        <f t="shared" si="11"/>
        <v>-9.5875503243942437E-2</v>
      </c>
    </row>
    <row r="78" spans="1:13" x14ac:dyDescent="0.3">
      <c r="A78" s="1">
        <v>73</v>
      </c>
      <c r="B78" s="1">
        <v>44.603200000000001</v>
      </c>
      <c r="C78" s="1">
        <v>24.625838000000002</v>
      </c>
      <c r="D78" s="1">
        <v>22.360833</v>
      </c>
      <c r="E78" s="1">
        <v>2.0908000000000002</v>
      </c>
      <c r="F78" s="1">
        <v>29.316199999999998</v>
      </c>
      <c r="G78" s="1">
        <v>1</v>
      </c>
      <c r="H78">
        <f t="shared" si="6"/>
        <v>0.81526446331104818</v>
      </c>
      <c r="I78">
        <f t="shared" si="7"/>
        <v>0.6932301935208971</v>
      </c>
      <c r="J78">
        <f t="shared" si="8"/>
        <v>1</v>
      </c>
      <c r="K78">
        <f t="shared" si="9"/>
        <v>0</v>
      </c>
      <c r="L78">
        <f t="shared" si="10"/>
        <v>0.6932301935208971</v>
      </c>
      <c r="M78">
        <f t="shared" si="11"/>
        <v>-0.36639316536551181</v>
      </c>
    </row>
    <row r="79" spans="1:13" x14ac:dyDescent="0.3">
      <c r="A79" s="1">
        <v>74</v>
      </c>
      <c r="B79" s="1">
        <v>78.210999999999999</v>
      </c>
      <c r="C79" s="1">
        <v>10.045871999999999</v>
      </c>
      <c r="D79" s="1">
        <v>23.183485999999998</v>
      </c>
      <c r="E79" s="1">
        <v>5.5045999999999999</v>
      </c>
      <c r="F79" s="1">
        <v>51.752299999999998</v>
      </c>
      <c r="G79" s="1">
        <v>1</v>
      </c>
      <c r="H79">
        <f t="shared" si="6"/>
        <v>4.6324530881419967E-2</v>
      </c>
      <c r="I79">
        <f t="shared" si="7"/>
        <v>0.51157906210864901</v>
      </c>
      <c r="J79">
        <f t="shared" si="8"/>
        <v>1</v>
      </c>
      <c r="K79">
        <f t="shared" si="9"/>
        <v>0</v>
      </c>
      <c r="L79">
        <f t="shared" si="10"/>
        <v>0.51157906210864901</v>
      </c>
      <c r="M79">
        <f t="shared" si="11"/>
        <v>-0.67025313640766404</v>
      </c>
    </row>
    <row r="80" spans="1:13" x14ac:dyDescent="0.3">
      <c r="A80" s="1">
        <v>75</v>
      </c>
      <c r="B80" s="1">
        <v>422.89620000000002</v>
      </c>
      <c r="C80" s="1">
        <v>31.747116999999999</v>
      </c>
      <c r="D80" s="1">
        <v>11.610423000000001</v>
      </c>
      <c r="E80" s="1">
        <v>76.035799999999995</v>
      </c>
      <c r="F80" s="1">
        <v>233.4579</v>
      </c>
      <c r="G80" s="1">
        <v>0</v>
      </c>
      <c r="H80">
        <f t="shared" si="6"/>
        <v>-7.4529790505471887</v>
      </c>
      <c r="I80">
        <f t="shared" si="7"/>
        <v>5.7937617440551384E-4</v>
      </c>
      <c r="J80">
        <f t="shared" si="8"/>
        <v>0</v>
      </c>
      <c r="K80">
        <f t="shared" si="9"/>
        <v>0</v>
      </c>
      <c r="L80">
        <f t="shared" si="10"/>
        <v>0.99942062382559449</v>
      </c>
      <c r="M80">
        <f t="shared" si="11"/>
        <v>-5.7954407763713162E-4</v>
      </c>
    </row>
    <row r="81" spans="1:13" x14ac:dyDescent="0.3">
      <c r="A81" s="1">
        <v>76</v>
      </c>
      <c r="B81" s="1">
        <v>189.78100000000001</v>
      </c>
      <c r="C81" s="1">
        <v>35.808132999999998</v>
      </c>
      <c r="D81" s="1">
        <v>12.294055999999999</v>
      </c>
      <c r="E81" s="1">
        <v>135.55779999999999</v>
      </c>
      <c r="F81" s="1">
        <v>170.464</v>
      </c>
      <c r="G81" s="1">
        <v>0</v>
      </c>
      <c r="H81">
        <f t="shared" si="6"/>
        <v>-3.2141693976643504</v>
      </c>
      <c r="I81">
        <f t="shared" si="7"/>
        <v>3.8635971302579245E-2</v>
      </c>
      <c r="J81">
        <f t="shared" si="8"/>
        <v>0</v>
      </c>
      <c r="K81">
        <f t="shared" si="9"/>
        <v>0</v>
      </c>
      <c r="L81">
        <f t="shared" si="10"/>
        <v>0.96136402869742077</v>
      </c>
      <c r="M81">
        <f t="shared" si="11"/>
        <v>-3.9402139764776127E-2</v>
      </c>
    </row>
    <row r="82" spans="1:13" x14ac:dyDescent="0.3">
      <c r="A82" s="1">
        <v>77</v>
      </c>
      <c r="B82" s="1">
        <v>267.40940000000001</v>
      </c>
      <c r="C82" s="1">
        <v>43.604456999999996</v>
      </c>
      <c r="D82" s="1">
        <v>6.1782729999999999</v>
      </c>
      <c r="E82" s="1">
        <v>135.9332</v>
      </c>
      <c r="F82" s="1">
        <v>206.05850000000001</v>
      </c>
      <c r="G82" s="1">
        <v>0</v>
      </c>
      <c r="H82">
        <f t="shared" si="6"/>
        <v>-4.3986566325858458</v>
      </c>
      <c r="I82">
        <f t="shared" si="7"/>
        <v>1.214454087392984E-2</v>
      </c>
      <c r="J82">
        <f t="shared" si="8"/>
        <v>0</v>
      </c>
      <c r="K82">
        <f t="shared" si="9"/>
        <v>0</v>
      </c>
      <c r="L82">
        <f t="shared" si="10"/>
        <v>0.9878554591260702</v>
      </c>
      <c r="M82">
        <f t="shared" si="11"/>
        <v>-1.2218888367738974E-2</v>
      </c>
    </row>
    <row r="83" spans="1:13" x14ac:dyDescent="0.3">
      <c r="A83" s="1">
        <v>78</v>
      </c>
      <c r="B83" s="1">
        <v>660.63639999999998</v>
      </c>
      <c r="C83" s="1">
        <v>38.904634999999999</v>
      </c>
      <c r="D83" s="1">
        <v>12.255158</v>
      </c>
      <c r="E83" s="1">
        <v>52.7104</v>
      </c>
      <c r="F83" s="1">
        <v>220.9068</v>
      </c>
      <c r="G83" s="1">
        <v>0</v>
      </c>
      <c r="H83">
        <f t="shared" si="6"/>
        <v>-12.10524770360165</v>
      </c>
      <c r="I83">
        <f t="shared" si="7"/>
        <v>5.5303843949698624E-6</v>
      </c>
      <c r="J83">
        <f t="shared" si="8"/>
        <v>0</v>
      </c>
      <c r="K83">
        <f t="shared" si="9"/>
        <v>0</v>
      </c>
      <c r="L83">
        <f t="shared" si="10"/>
        <v>0.99999446961560501</v>
      </c>
      <c r="M83">
        <f t="shared" si="11"/>
        <v>-5.5303996876238108E-6</v>
      </c>
    </row>
    <row r="84" spans="1:13" x14ac:dyDescent="0.3">
      <c r="A84" s="1">
        <v>79</v>
      </c>
      <c r="B84" s="1">
        <v>238.983</v>
      </c>
      <c r="C84" s="1">
        <v>31.110168999999999</v>
      </c>
      <c r="D84" s="1">
        <v>34.546610000000001</v>
      </c>
      <c r="E84" s="1">
        <v>83.898399999999995</v>
      </c>
      <c r="F84" s="1">
        <v>154.661</v>
      </c>
      <c r="G84" s="1">
        <v>0</v>
      </c>
      <c r="H84">
        <f t="shared" si="6"/>
        <v>-5.7237934224575753</v>
      </c>
      <c r="I84">
        <f t="shared" si="7"/>
        <v>3.2566527021136516E-3</v>
      </c>
      <c r="J84">
        <f t="shared" si="8"/>
        <v>0</v>
      </c>
      <c r="K84">
        <f t="shared" si="9"/>
        <v>0</v>
      </c>
      <c r="L84">
        <f t="shared" si="10"/>
        <v>0.99674334729788638</v>
      </c>
      <c r="M84">
        <f t="shared" si="11"/>
        <v>-3.2619671368402867E-3</v>
      </c>
    </row>
    <row r="85" spans="1:13" x14ac:dyDescent="0.3">
      <c r="A85" s="1">
        <v>80</v>
      </c>
      <c r="B85" s="1">
        <v>66.736199999999997</v>
      </c>
      <c r="C85" s="1">
        <v>69.739311999999998</v>
      </c>
      <c r="D85" s="1">
        <v>16.05376</v>
      </c>
      <c r="E85" s="1">
        <v>21.3186</v>
      </c>
      <c r="F85" s="1">
        <v>106.10299999999999</v>
      </c>
      <c r="G85" s="1">
        <v>0</v>
      </c>
      <c r="H85">
        <f t="shared" si="6"/>
        <v>0.12191720807570139</v>
      </c>
      <c r="I85">
        <f t="shared" si="7"/>
        <v>0.53044160484854253</v>
      </c>
      <c r="J85">
        <f t="shared" si="8"/>
        <v>1</v>
      </c>
      <c r="K85">
        <f t="shared" si="9"/>
        <v>1</v>
      </c>
      <c r="L85">
        <f t="shared" si="10"/>
        <v>0.46955839515145747</v>
      </c>
      <c r="M85">
        <f t="shared" si="11"/>
        <v>-0.75596261074863869</v>
      </c>
    </row>
    <row r="86" spans="1:13" x14ac:dyDescent="0.3">
      <c r="A86" s="1">
        <v>81</v>
      </c>
      <c r="B86" s="1">
        <v>57.906399999999998</v>
      </c>
      <c r="C86" s="1">
        <v>63.747216000000002</v>
      </c>
      <c r="D86" s="1">
        <v>17.934297999999998</v>
      </c>
      <c r="E86" s="1">
        <v>26.725999999999999</v>
      </c>
      <c r="F86" s="1">
        <v>60.634700000000002</v>
      </c>
      <c r="G86" s="1">
        <v>0</v>
      </c>
      <c r="H86">
        <f t="shared" si="6"/>
        <v>0.28097574681105275</v>
      </c>
      <c r="I86">
        <f t="shared" si="7"/>
        <v>0.56978542501853013</v>
      </c>
      <c r="J86">
        <f t="shared" si="8"/>
        <v>1</v>
      </c>
      <c r="K86">
        <f t="shared" si="9"/>
        <v>1</v>
      </c>
      <c r="L86">
        <f t="shared" si="10"/>
        <v>0.43021457498146987</v>
      </c>
      <c r="M86">
        <f t="shared" si="11"/>
        <v>-0.84347118317459169</v>
      </c>
    </row>
    <row r="87" spans="1:13" x14ac:dyDescent="0.3">
      <c r="A87" s="1">
        <v>82</v>
      </c>
      <c r="B87" s="1">
        <v>220.82634999999999</v>
      </c>
      <c r="C87" s="1">
        <v>17.761026999999999</v>
      </c>
      <c r="D87" s="1">
        <v>3.0764939999999998</v>
      </c>
      <c r="E87" s="1">
        <v>217.75540000000001</v>
      </c>
      <c r="F87" s="1">
        <v>235.73929999999999</v>
      </c>
      <c r="G87" s="1">
        <v>1</v>
      </c>
      <c r="H87">
        <f t="shared" si="6"/>
        <v>-3.9364364847910043</v>
      </c>
      <c r="I87">
        <f t="shared" si="7"/>
        <v>1.9143996702724507E-2</v>
      </c>
      <c r="J87">
        <f t="shared" si="8"/>
        <v>0</v>
      </c>
      <c r="K87">
        <f t="shared" si="9"/>
        <v>1</v>
      </c>
      <c r="L87">
        <f t="shared" si="10"/>
        <v>1.9143996702724507E-2</v>
      </c>
      <c r="M87">
        <f t="shared" si="11"/>
        <v>-3.9557661006115317</v>
      </c>
    </row>
    <row r="88" spans="1:13" x14ac:dyDescent="0.3">
      <c r="A88" s="1">
        <v>83</v>
      </c>
      <c r="B88" s="1">
        <v>37.339750000000002</v>
      </c>
      <c r="C88" s="1">
        <v>40.123891999999998</v>
      </c>
      <c r="D88" s="1">
        <v>30.374258000000001</v>
      </c>
      <c r="E88" s="1">
        <v>20.648700000000002</v>
      </c>
      <c r="F88" s="1">
        <v>167.63120000000001</v>
      </c>
      <c r="G88" s="1">
        <v>1</v>
      </c>
      <c r="H88">
        <f t="shared" si="6"/>
        <v>-0.66328477057387047</v>
      </c>
      <c r="I88">
        <f t="shared" si="7"/>
        <v>0.34000211987329088</v>
      </c>
      <c r="J88">
        <f t="shared" si="8"/>
        <v>0</v>
      </c>
      <c r="K88">
        <f t="shared" si="9"/>
        <v>1</v>
      </c>
      <c r="L88">
        <f t="shared" si="10"/>
        <v>0.34000211987329088</v>
      </c>
      <c r="M88">
        <f t="shared" si="11"/>
        <v>-1.0788034264699233</v>
      </c>
    </row>
    <row r="89" spans="1:13" x14ac:dyDescent="0.3">
      <c r="A89" s="1">
        <v>84</v>
      </c>
      <c r="B89" s="1">
        <v>14.473699999999999</v>
      </c>
      <c r="C89" s="1">
        <v>140.934211</v>
      </c>
      <c r="D89" s="1">
        <v>9.3421050000000001</v>
      </c>
      <c r="E89" s="1">
        <v>3.0701999999999998</v>
      </c>
      <c r="F89" s="1">
        <v>37.596499999999999</v>
      </c>
      <c r="G89" s="1">
        <v>1</v>
      </c>
      <c r="H89">
        <f t="shared" si="6"/>
        <v>1.7267192818688013</v>
      </c>
      <c r="I89">
        <f t="shared" si="7"/>
        <v>0.84899229922877295</v>
      </c>
      <c r="J89">
        <f t="shared" si="8"/>
        <v>1</v>
      </c>
      <c r="K89">
        <f t="shared" si="9"/>
        <v>0</v>
      </c>
      <c r="L89">
        <f t="shared" si="10"/>
        <v>0.84899229922877295</v>
      </c>
      <c r="M89">
        <f t="shared" si="11"/>
        <v>-0.16370516311384251</v>
      </c>
    </row>
    <row r="90" spans="1:13" x14ac:dyDescent="0.3">
      <c r="A90" s="1">
        <v>85</v>
      </c>
      <c r="B90" s="1">
        <v>1269.2434000000001</v>
      </c>
      <c r="C90" s="1">
        <v>18.659200999999999</v>
      </c>
      <c r="D90" s="1">
        <v>10.154643</v>
      </c>
      <c r="E90" s="1">
        <v>107.2208</v>
      </c>
      <c r="F90" s="1">
        <v>246.0558</v>
      </c>
      <c r="G90" s="1">
        <v>0</v>
      </c>
      <c r="H90">
        <f t="shared" si="6"/>
        <v>-24.787695998069147</v>
      </c>
      <c r="I90">
        <f t="shared" si="7"/>
        <v>1.7172772198926883E-11</v>
      </c>
      <c r="J90">
        <f t="shared" si="8"/>
        <v>0</v>
      </c>
      <c r="K90">
        <f t="shared" si="9"/>
        <v>0</v>
      </c>
      <c r="L90">
        <f t="shared" si="10"/>
        <v>0.99999999998282718</v>
      </c>
      <c r="M90">
        <f t="shared" si="11"/>
        <v>-1.717281872274691E-11</v>
      </c>
    </row>
    <row r="91" spans="1:13" x14ac:dyDescent="0.3">
      <c r="A91" s="1">
        <v>86</v>
      </c>
      <c r="B91" s="1">
        <v>192.02699999999999</v>
      </c>
      <c r="C91" s="1">
        <v>30.881526999999998</v>
      </c>
      <c r="D91" s="1">
        <v>24.188658</v>
      </c>
      <c r="E91" s="1">
        <v>59.517200000000003</v>
      </c>
      <c r="F91" s="1">
        <v>100.23860000000001</v>
      </c>
      <c r="G91" s="1">
        <v>0</v>
      </c>
      <c r="H91">
        <f t="shared" si="6"/>
        <v>-3.2932812956253077</v>
      </c>
      <c r="I91">
        <f t="shared" si="7"/>
        <v>3.5802400930923406E-2</v>
      </c>
      <c r="J91">
        <f t="shared" si="8"/>
        <v>0</v>
      </c>
      <c r="K91">
        <f t="shared" si="9"/>
        <v>0</v>
      </c>
      <c r="L91">
        <f t="shared" si="10"/>
        <v>0.96419759906907654</v>
      </c>
      <c r="M91">
        <f t="shared" si="11"/>
        <v>-3.6459027089346445E-2</v>
      </c>
    </row>
    <row r="92" spans="1:13" x14ac:dyDescent="0.3">
      <c r="A92" s="1">
        <v>87</v>
      </c>
      <c r="B92" s="1">
        <v>220.07239999999999</v>
      </c>
      <c r="C92" s="1">
        <v>14.933961</v>
      </c>
      <c r="D92" s="1">
        <v>13.052915</v>
      </c>
      <c r="E92" s="1">
        <v>38.361199999999997</v>
      </c>
      <c r="F92" s="1">
        <v>125.27760000000001</v>
      </c>
      <c r="G92" s="1">
        <v>0</v>
      </c>
      <c r="H92">
        <f t="shared" si="6"/>
        <v>-2.5229622878839209</v>
      </c>
      <c r="I92">
        <f t="shared" si="7"/>
        <v>7.4264034156122455E-2</v>
      </c>
      <c r="J92">
        <f t="shared" si="8"/>
        <v>0</v>
      </c>
      <c r="K92">
        <f t="shared" si="9"/>
        <v>0</v>
      </c>
      <c r="L92">
        <f t="shared" si="10"/>
        <v>0.92573596584387752</v>
      </c>
      <c r="M92">
        <f t="shared" si="11"/>
        <v>-7.7166219072293832E-2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nguyễn</dc:creator>
  <cp:lastModifiedBy>khoa nguyễn</cp:lastModifiedBy>
  <dcterms:created xsi:type="dcterms:W3CDTF">2025-11-25T03:24:35Z</dcterms:created>
  <dcterms:modified xsi:type="dcterms:W3CDTF">2025-11-25T04:00:35Z</dcterms:modified>
</cp:coreProperties>
</file>