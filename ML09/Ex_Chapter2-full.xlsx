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OneDrive\Desktop\ML2025_NguyenDangKhoa\ML09\"/>
    </mc:Choice>
  </mc:AlternateContent>
  <xr:revisionPtr revIDLastSave="0" documentId="13_ncr:1_{7C2DDF16-A044-4186-A609-1D2042831FE9}" xr6:coauthVersionLast="47" xr6:coauthVersionMax="47" xr10:uidLastSave="{00000000-0000-0000-0000-000000000000}"/>
  <bookViews>
    <workbookView xWindow="11424" yWindow="0" windowWidth="11712" windowHeight="12336" xr2:uid="{843550FB-161C-4F3E-A791-EFFB96090E1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9" i="1" l="1"/>
  <c r="F21" i="1"/>
  <c r="F22" i="1"/>
  <c r="F23" i="1"/>
  <c r="F24" i="1"/>
  <c r="F25" i="1"/>
  <c r="F26" i="1"/>
  <c r="F27" i="1"/>
  <c r="F20" i="1"/>
  <c r="E27" i="1"/>
  <c r="E26" i="1"/>
  <c r="E25" i="1"/>
  <c r="E24" i="1"/>
  <c r="E23" i="1"/>
  <c r="E22" i="1"/>
  <c r="E21" i="1"/>
  <c r="E20" i="1"/>
  <c r="C32" i="1" a="1"/>
  <c r="C32" i="1"/>
  <c r="C31" i="1" a="1"/>
  <c r="C31" i="1" s="1"/>
  <c r="C30" i="1" a="1"/>
  <c r="C30" i="1" s="1"/>
  <c r="C29" i="1" a="1"/>
  <c r="C29" i="1" s="1"/>
  <c r="B12" i="1"/>
  <c r="B13" i="1"/>
  <c r="D4" i="1"/>
  <c r="D5" i="1"/>
  <c r="D6" i="1"/>
  <c r="D7" i="1"/>
  <c r="D8" i="1"/>
  <c r="D9" i="1"/>
  <c r="D10" i="1"/>
  <c r="D13" i="1" s="1"/>
  <c r="D14" i="1"/>
  <c r="D15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<sst xmlns="http://schemas.openxmlformats.org/spreadsheetml/2006/main" count="26" uniqueCount="19">
  <si>
    <t>Temperature</t>
  </si>
  <si>
    <t>Ice Cream Sale (Thousands of Dollars)</t>
  </si>
  <si>
    <t>Sum(X)</t>
  </si>
  <si>
    <t>x</t>
  </si>
  <si>
    <t>y</t>
  </si>
  <si>
    <t>Sum(y)</t>
  </si>
  <si>
    <t>Sxy</t>
  </si>
  <si>
    <t>Sxx</t>
  </si>
  <si>
    <t>n</t>
  </si>
  <si>
    <t>m</t>
  </si>
  <si>
    <t>b</t>
  </si>
  <si>
    <t>prediction</t>
  </si>
  <si>
    <t>Scoring data</t>
  </si>
  <si>
    <t>Tourists</t>
  </si>
  <si>
    <t>Sunny Days</t>
  </si>
  <si>
    <t>Y-intercept</t>
  </si>
  <si>
    <t>Preficted</t>
  </si>
  <si>
    <t>Error</t>
  </si>
  <si>
    <t>Sum of 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</si>
</sst>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47488E-1B2F-4F4F-8708-2EA67ED5CF0F}">
  <dimension ref="A1:F32"/>
  <sheetViews>
    <sheetView tabSelected="1" topLeftCell="A6" workbookViewId="0">
      <selection sqref="A1:B10"/>
    </sheetView>
  </sheetViews>
  <sheetFormatPr defaultRowHeight="14.4" x14ac:dyDescent="0.3"/>
  <cols>
    <col min="1" max="1" width="11.33203125" bestFit="1" customWidth="1"/>
    <col min="2" max="2" width="31.5546875" bestFit="1" customWidth="1"/>
    <col min="3" max="3" width="10.88671875" bestFit="1" customWidth="1"/>
    <col min="4" max="4" width="31.5546875" bestFit="1" customWidth="1"/>
  </cols>
  <sheetData>
    <row r="1" spans="1:4" x14ac:dyDescent="0.3">
      <c r="A1" s="1" t="s">
        <v>3</v>
      </c>
      <c r="B1" s="1" t="s">
        <v>4</v>
      </c>
    </row>
    <row r="2" spans="1:4" x14ac:dyDescent="0.3">
      <c r="A2" s="1" t="s">
        <v>0</v>
      </c>
      <c r="B2" s="1" t="s">
        <v>1</v>
      </c>
    </row>
    <row r="3" spans="1:4" x14ac:dyDescent="0.3">
      <c r="A3" s="1">
        <v>91</v>
      </c>
      <c r="B3" s="1">
        <v>89.8</v>
      </c>
    </row>
    <row r="4" spans="1:4" x14ac:dyDescent="0.3">
      <c r="A4" s="1">
        <v>87</v>
      </c>
      <c r="B4" s="1">
        <v>90.2</v>
      </c>
      <c r="C4" t="s">
        <v>2</v>
      </c>
      <c r="D4">
        <f>SUM(A3:A10)</f>
        <v>731</v>
      </c>
    </row>
    <row r="5" spans="1:4" x14ac:dyDescent="0.3">
      <c r="A5" s="1">
        <v>86</v>
      </c>
      <c r="B5" s="1">
        <v>81.099999999999994</v>
      </c>
      <c r="C5" t="s">
        <v>5</v>
      </c>
      <c r="D5">
        <f>SUM(B3:B10)</f>
        <v>781.3</v>
      </c>
    </row>
    <row r="6" spans="1:4" x14ac:dyDescent="0.3">
      <c r="A6" s="1">
        <v>88</v>
      </c>
      <c r="B6" s="1">
        <v>83</v>
      </c>
      <c r="C6" t="s">
        <v>6</v>
      </c>
      <c r="D6">
        <f>SUMPRODUCT(A3:A10,B3:B10)</f>
        <v>71851.77</v>
      </c>
    </row>
    <row r="7" spans="1:4" x14ac:dyDescent="0.3">
      <c r="A7" s="1">
        <v>92.8</v>
      </c>
      <c r="B7" s="1">
        <v>90.9</v>
      </c>
      <c r="C7" t="s">
        <v>7</v>
      </c>
      <c r="D7">
        <f>SUMPRODUCT(A3:A10,A3:A10)</f>
        <v>66915.06</v>
      </c>
    </row>
    <row r="8" spans="1:4" x14ac:dyDescent="0.3">
      <c r="A8" s="1">
        <v>95.2</v>
      </c>
      <c r="B8" s="1">
        <v>119</v>
      </c>
      <c r="C8" t="s">
        <v>8</v>
      </c>
      <c r="D8">
        <f>COUNT(A3:A10)</f>
        <v>8</v>
      </c>
    </row>
    <row r="9" spans="1:4" x14ac:dyDescent="0.3">
      <c r="A9" s="1">
        <v>93.3</v>
      </c>
      <c r="B9" s="1">
        <v>94.9</v>
      </c>
      <c r="C9" t="s">
        <v>9</v>
      </c>
      <c r="D9">
        <f>(D8*D6-D4*D5)/(D8*D7-D4*D4)</f>
        <v>3.8394338600076852</v>
      </c>
    </row>
    <row r="10" spans="1:4" x14ac:dyDescent="0.3">
      <c r="A10" s="1">
        <v>97.7</v>
      </c>
      <c r="B10" s="1">
        <v>132.4</v>
      </c>
      <c r="C10" t="s">
        <v>10</v>
      </c>
      <c r="D10">
        <f>(D7*D5-D4*D6)/(D8*D7-D4*D4)</f>
        <v>-253.16576895819699</v>
      </c>
    </row>
    <row r="12" spans="1:4" x14ac:dyDescent="0.3">
      <c r="A12" t="s">
        <v>9</v>
      </c>
      <c r="B12">
        <f>SLOPE(B3:B10,A3:A10)</f>
        <v>3.8394338600075053</v>
      </c>
      <c r="C12" t="s">
        <v>12</v>
      </c>
      <c r="D12" t="s">
        <v>11</v>
      </c>
    </row>
    <row r="13" spans="1:4" x14ac:dyDescent="0.3">
      <c r="A13" t="s">
        <v>10</v>
      </c>
      <c r="B13">
        <f>INTERCEPT(B3:B10,A3:A10)</f>
        <v>-253.16576895818579</v>
      </c>
      <c r="C13">
        <v>88.8</v>
      </c>
      <c r="D13">
        <f>D9*C13+D10</f>
        <v>87.775957810485437</v>
      </c>
    </row>
    <row r="14" spans="1:4" x14ac:dyDescent="0.3">
      <c r="C14">
        <v>96.9</v>
      </c>
      <c r="D14">
        <f>D9*C14+D10</f>
        <v>118.87537207654773</v>
      </c>
    </row>
    <row r="15" spans="1:4" x14ac:dyDescent="0.3">
      <c r="C15">
        <v>94.7</v>
      </c>
      <c r="D15">
        <f>D9*C15+D10</f>
        <v>110.42861758453083</v>
      </c>
    </row>
    <row r="19" spans="1:6" x14ac:dyDescent="0.3">
      <c r="A19" s="1" t="s">
        <v>0</v>
      </c>
      <c r="B19" s="1" t="s">
        <v>13</v>
      </c>
      <c r="C19" s="1" t="s">
        <v>14</v>
      </c>
      <c r="D19" s="1" t="s">
        <v>1</v>
      </c>
      <c r="E19" t="s">
        <v>16</v>
      </c>
      <c r="F19" t="s">
        <v>17</v>
      </c>
    </row>
    <row r="20" spans="1:6" x14ac:dyDescent="0.3">
      <c r="A20" s="1">
        <v>91</v>
      </c>
      <c r="B20" s="1">
        <v>998</v>
      </c>
      <c r="C20" s="1">
        <v>4</v>
      </c>
      <c r="D20" s="1">
        <v>89.8</v>
      </c>
      <c r="E20">
        <f>A20*C31+B20*C30+C20*C29+C32</f>
        <v>88.770599892675023</v>
      </c>
      <c r="F20">
        <f>POWER(E20-D20,2)</f>
        <v>1.0596645809606691</v>
      </c>
    </row>
    <row r="21" spans="1:6" x14ac:dyDescent="0.3">
      <c r="A21" s="1">
        <v>87</v>
      </c>
      <c r="B21" s="1">
        <v>1256</v>
      </c>
      <c r="C21" s="1">
        <v>7</v>
      </c>
      <c r="D21" s="1">
        <v>90.2</v>
      </c>
      <c r="E21">
        <f>A21*C31+B21*C30+C21*C29+C32</f>
        <v>90.390725606528406</v>
      </c>
      <c r="F21">
        <f t="shared" ref="F21:F27" si="0">POWER(E21-D21,2)</f>
        <v>3.6376256985627235E-2</v>
      </c>
    </row>
    <row r="22" spans="1:6" x14ac:dyDescent="0.3">
      <c r="A22" s="1">
        <v>86</v>
      </c>
      <c r="B22" s="1">
        <v>791</v>
      </c>
      <c r="C22" s="1">
        <v>6</v>
      </c>
      <c r="D22" s="1">
        <v>81.099999999999994</v>
      </c>
      <c r="E22">
        <f>A22*C31+B22*C30+C22*C29+C32</f>
        <v>81.08535834704594</v>
      </c>
      <c r="F22">
        <f t="shared" si="0"/>
        <v>2.1437800122697307E-4</v>
      </c>
    </row>
    <row r="23" spans="1:6" x14ac:dyDescent="0.3">
      <c r="A23" s="1">
        <v>88</v>
      </c>
      <c r="B23" s="1">
        <v>705</v>
      </c>
      <c r="C23" s="1">
        <v>5</v>
      </c>
      <c r="D23" s="1">
        <v>83</v>
      </c>
      <c r="E23">
        <f>A23*C31+B23*C30+C23*C29+C32</f>
        <v>83.195592678492687</v>
      </c>
      <c r="F23">
        <f t="shared" si="0"/>
        <v>3.8256495879943765E-2</v>
      </c>
    </row>
    <row r="24" spans="1:6" x14ac:dyDescent="0.3">
      <c r="A24" s="1">
        <v>92.8</v>
      </c>
      <c r="B24" s="1">
        <v>1089</v>
      </c>
      <c r="C24" s="1">
        <v>3</v>
      </c>
      <c r="D24" s="1">
        <v>90.9</v>
      </c>
      <c r="E24">
        <f>A24*C31+B24*C30+C24*C29+C32</f>
        <v>89.84727235480392</v>
      </c>
      <c r="F24">
        <f t="shared" si="0"/>
        <v>1.1082354949600961</v>
      </c>
    </row>
    <row r="25" spans="1:6" x14ac:dyDescent="0.3">
      <c r="A25" s="1">
        <v>95.2</v>
      </c>
      <c r="B25" s="1">
        <v>1135</v>
      </c>
      <c r="C25" s="1">
        <v>6</v>
      </c>
      <c r="D25" s="1">
        <v>119</v>
      </c>
      <c r="E25">
        <f>A25*C31+B25*C30+C25*C29+C32</f>
        <v>117.19568579748471</v>
      </c>
      <c r="F25">
        <f t="shared" si="0"/>
        <v>3.2555497413983727</v>
      </c>
    </row>
    <row r="26" spans="1:6" x14ac:dyDescent="0.3">
      <c r="A26" s="1">
        <v>93.3</v>
      </c>
      <c r="B26" s="1">
        <v>1076</v>
      </c>
      <c r="C26" s="1">
        <v>4</v>
      </c>
      <c r="D26" s="1">
        <v>94.9</v>
      </c>
      <c r="E26">
        <f>A26*C31+B26*C30+C26*C29+C32</f>
        <v>97.808960467081249</v>
      </c>
      <c r="F26">
        <f t="shared" si="0"/>
        <v>8.4620509990415265</v>
      </c>
    </row>
    <row r="27" spans="1:6" x14ac:dyDescent="0.3">
      <c r="A27" s="1">
        <v>97.7</v>
      </c>
      <c r="B27" s="1">
        <v>1198</v>
      </c>
      <c r="C27" s="1">
        <v>7</v>
      </c>
      <c r="D27" s="1">
        <v>132.4</v>
      </c>
      <c r="E27">
        <f>A27*C31+B27*C30+C27*C29+C32</f>
        <v>133.00580485588836</v>
      </c>
      <c r="F27">
        <f t="shared" si="0"/>
        <v>0.36699952341790609</v>
      </c>
    </row>
    <row r="29" spans="1:6" x14ac:dyDescent="0.3">
      <c r="A29" t="s">
        <v>14</v>
      </c>
      <c r="B29">
        <v>1</v>
      </c>
      <c r="C29" cm="1">
        <f t="array" ref="C29">INDEX(LINEST(D20:D27,A20:C27,TRUE,TRUE),1,B29)</f>
        <v>5.9564655285595709</v>
      </c>
      <c r="D29" t="s">
        <v>18</v>
      </c>
      <c r="E29">
        <f>SUM(F20:F27)</f>
        <v>14.327347470645368</v>
      </c>
    </row>
    <row r="30" spans="1:6" x14ac:dyDescent="0.3">
      <c r="A30" t="s">
        <v>13</v>
      </c>
      <c r="B30">
        <v>2</v>
      </c>
      <c r="C30" cm="1">
        <f t="array" ref="C30">INDEX(LINEST(D20:D27,A20:C27,TRUE,TRUE),1,B30)</f>
        <v>-1.3473389745675504E-3</v>
      </c>
    </row>
    <row r="31" spans="1:6" x14ac:dyDescent="0.3">
      <c r="A31" t="s">
        <v>0</v>
      </c>
      <c r="B31">
        <v>3</v>
      </c>
      <c r="C31" cm="1">
        <f t="array" ref="C31">INDEX(LINEST(D20:D27,A20:C27,TRUE,TRUE),1,B31)</f>
        <v>3.9754143540967339</v>
      </c>
    </row>
    <row r="32" spans="1:6" x14ac:dyDescent="0.3">
      <c r="A32" t="s">
        <v>15</v>
      </c>
      <c r="B32">
        <v>4</v>
      </c>
      <c r="C32" cm="1">
        <f t="array" ref="C32">INDEX(LINEST(D20:D27,A20:C27,TRUE,TRUE),1,B32)</f>
        <v>-295.47332414774763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khoa nguyễn</dc:creator>
  <cp:lastModifiedBy>khoa nguyễn</cp:lastModifiedBy>
  <dcterms:created xsi:type="dcterms:W3CDTF">2025-11-25T02:49:34Z</dcterms:created>
  <dcterms:modified xsi:type="dcterms:W3CDTF">2025-11-25T03:24:30Z</dcterms:modified>
</cp:coreProperties>
</file>